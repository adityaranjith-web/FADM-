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1_Business_Overview" sheetId="2" r:id="rId6"/>
    <sheet state="visible" name="2_Growth_Comparison" sheetId="3" r:id="rId7"/>
    <sheet state="hidden" name="2b_Growth_Chart_Data" sheetId="4" r:id="rId8"/>
    <sheet state="visible" name="3_Sales_per_Asset_Employee" sheetId="5" r:id="rId9"/>
    <sheet state="visible" name="4_Acquisitions" sheetId="6" r:id="rId10"/>
    <sheet state="visible" name="5_Shareholding_Pattern" sheetId="7" r:id="rId11"/>
    <sheet state="visible" name="6_Business_Segments" sheetId="8" r:id="rId12"/>
    <sheet state="visible" name="7_Group_Structure" sheetId="9" r:id="rId13"/>
    <sheet state="hidden" name="6b_Segment_Chart_Data" sheetId="10" r:id="rId14"/>
    <sheet state="visible" name="8_Associates_JVs" sheetId="11" r:id="rId15"/>
    <sheet state="visible" name="9_Investments" sheetId="12" r:id="rId16"/>
    <sheet state="visible" name="10_Financing_Changes" sheetId="13" r:id="rId17"/>
    <sheet state="visible" name="11_Returns_Volatility" sheetId="14" r:id="rId18"/>
    <sheet state="visible" name="Weekly_Price_Data" sheetId="15" r:id="rId19"/>
    <sheet state="visible" name="12_Major_Announcements" sheetId="16" r:id="rId20"/>
    <sheet state="hidden" name="12b_Announcement_Chart_Data" sheetId="17" r:id="rId21"/>
    <sheet state="visible" name="13_Sources_and_Gaps" sheetId="18" r:id="rId22"/>
    <sheet state="visible" name="Tata Power" sheetId="19" r:id="rId23"/>
    <sheet state="visible" name="Consolidated Balance Sheet Summ" sheetId="20" r:id="rId24"/>
    <sheet state="visible" name="Consolidated Statement of Profi" sheetId="21" r:id="rId25"/>
    <sheet state="visible" name="Sheet5" sheetId="22" r:id="rId26"/>
    <sheet state="visible" name="Consolidated Profit and loss st" sheetId="23"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Fill in your Group number and name before submission.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C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B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D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C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E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D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F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E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G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B22">
      <text>
        <t xml:space="preserve">Not independently verifiable via web search in this session — pull directly from screener.in / moneycontrol / NSE-BSE filings / the company's Annual Report before final submission.</t>
      </text>
    </comment>
    <comment authorId="0" ref="F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H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C22">
      <text>
        <t xml:space="preserve">Not independently verifiable via web search in this session — pull directly from screener.in / moneycontrol / NSE-BSE filings / the company's Annual Report before final submission.</t>
      </text>
    </comment>
    <comment authorId="0" ref="G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I28">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B20">
      <text>
        <t xml:space="preserve">Not independently verifiable via web search in this session — pull directly from screener.in / moneycontrol / NSE-BSE filings / the company's Annual Report before final submission.</t>
      </text>
    </comment>
    <comment authorId="0" ref="H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I26">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B16">
      <text>
        <t xml:space="preserve">Not independently verifiable via web search in this session — pull directly from screener.in / moneycontrol / NSE-BSE filings / the company's Annual Report before final submission.</t>
      </text>
    </comment>
    <comment authorId="0" ref="C16">
      <text>
        <t xml:space="preserve">Not independently verifiable via web search in this session — pull directly from screener.in / moneycontrol / NSE-BSE filings / the company's Annual Report before final submission.</t>
      </text>
    </comment>
    <comment authorId="0" ref="B14">
      <text>
        <t xml:space="preserve">Not independently verifiable via web search in this session — pull directly from screener.in / moneycontrol / NSE-BSE filings / the company's Annual Report before final submission.</t>
      </text>
    </comment>
    <comment authorId="0" ref="D16">
      <text>
        <t xml:space="preserve">Not independently verifiable via web search in this session — pull directly from screener.in / moneycontrol / NSE-BSE filings / the company's Annual Report before final submission.</t>
      </text>
    </comment>
    <comment authorId="0" ref="C14">
      <text>
        <t xml:space="preserve">Not independently verifiable via web search in this session — pull directly from screener.in / moneycontrol / NSE-BSE filings / the company's Annual Report before final submission.</t>
      </text>
    </comment>
    <comment authorId="0" ref="G16">
      <text>
        <t xml:space="preserve">Not independently verifiable via web search in this session — pull directly from screener.in / moneycontrol / NSE-BSE filings / the company's Annual Report before final submission.</t>
      </text>
    </comment>
    <comment authorId="0" ref="B10">
      <text>
        <t xml:space="preserve">Not independently verifiable via web search in this session — pull directly from screener.in / moneycontrol / NSE-BSE filings / the company's Annual Report before final submission.</t>
      </text>
    </comment>
    <comment authorId="0" ref="C10">
      <text>
        <t xml:space="preserve">Not independently verifiable via web search in this session — pull directly from screener.in / moneycontrol / NSE-BSE filings / the company's Annual Report before final submission.</t>
      </text>
    </comment>
    <comment authorId="0" ref="E10">
      <text>
        <t xml:space="preserve">Not independently verifiable via web search in this session — pull directly from screener.in / moneycontrol / NSE-BSE filings / the company's Annual Report before final submission.</t>
      </text>
    </comment>
    <comment authorId="0" ref="G10">
      <text>
        <t xml:space="preserve">Not independently verifiable via web search in this session — pull directly from screener.in / moneycontrol / NSE-BSE filings / the company's Annual Report before final submission.</t>
      </text>
    </comment>
    <comment authorId="0" ref="B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C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D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E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F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G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B21">
      <text>
        <t xml:space="preserve">Not independently verifiable via web search in this session — pull directly from screener.in / moneycontrol / NSE-BSE filings / the company's Annual Report before final submission.</t>
      </text>
    </comment>
    <comment authorId="0" ref="H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I27">
      <text>
        <t xml:space="preserve">Historical FY-end (31 March) closing prices were not retrievable via search in this session. Pull directly from NSE historical data / Yahoo Finance (finance.yahoo.com/quote/&lt;TICKER&gt;.NS/history) — NOTE: Adani Power did a 1:5 stock split effective 22-Sep-2025, so use SPLIT-ADJUSTED prices for a like-for-like series.</t>
      </text>
    </comment>
    <comment authorId="0" ref="B19">
      <text>
        <t xml:space="preserve">Not independently verifiable via web search in this session — pull directly from screener.in / moneycontrol / NSE-BSE filings / the company's Annual Report before final submission.</t>
      </text>
    </comment>
    <comment authorId="0" ref="B15">
      <text>
        <t xml:space="preserve">Not independently verifiable via web search in this session — pull directly from screener.in / moneycontrol / NSE-BSE filings / the company's Annual Report before final submission.</t>
      </text>
    </comment>
    <comment authorId="0" ref="C15">
      <text>
        <t xml:space="preserve">Not independently verifiable via web search in this session — pull directly from screener.in / moneycontrol / NSE-BSE filings / the company's Annual Report before final submission.</t>
      </text>
    </comment>
    <comment authorId="0" ref="B9">
      <text>
        <t xml:space="preserve">Not independently verifiable via web search in this session — pull directly from screener.in / moneycontrol / NSE-BSE filings / the company's Annual Report before final submission.</t>
      </text>
    </comment>
  </commentList>
</comments>
</file>

<file path=xl/sharedStrings.xml><?xml version="1.0" encoding="utf-8"?>
<sst xmlns="http://schemas.openxmlformats.org/spreadsheetml/2006/main" count="1166" uniqueCount="801">
  <si>
    <t>FADM Group Assignment — Part 1</t>
  </si>
  <si>
    <t>Target Company:</t>
  </si>
  <si>
    <t>Adani Power Ltd (NSE: ADANIPOWER, BSE: 533096)</t>
  </si>
  <si>
    <t>Competitors:</t>
  </si>
  <si>
    <t>Tata Power Company Ltd (NSE: TATAPOWER)  |  Torrent Power Ltd (NSE: TORNTPOWER)</t>
  </si>
  <si>
    <t>Sector:</t>
  </si>
  <si>
    <t>Power Generation, Transmission &amp; Distribution (India)</t>
  </si>
  <si>
    <t>Group / Student:</t>
  </si>
  <si>
    <t>[FILL IN: Group-X / Student Name]</t>
  </si>
  <si>
    <t>Date prepared:</t>
  </si>
  <si>
    <t>15 July 2026</t>
  </si>
  <si>
    <t>Contents</t>
  </si>
  <si>
    <t>1. Business Overview &amp; Market</t>
  </si>
  <si>
    <t>2. Sales / Asset / Profit / Market-Price Growth (5-yr) — Comparison &amp; Chart</t>
  </si>
  <si>
    <t>3. Sales per Rupee of Asset &amp; Sales per Employee</t>
  </si>
  <si>
    <t xml:space="preserve"> </t>
  </si>
  <si>
    <t>5. Shareholding Pattern (Promoters, FII, DII/MF, Pledge, Free Float)</t>
  </si>
  <si>
    <t>6. Reportable Business Segments — 5-yr Trend &amp; Comparison</t>
  </si>
  <si>
    <t>7. Group Structure — Subsidiaries</t>
  </si>
  <si>
    <t>8. Associates &amp; Joint Ventures</t>
  </si>
  <si>
    <t>9. Other Investments (ex subs/associates/JVs) up to FY23</t>
  </si>
  <si>
    <t>10. Major Changes in Financing (5-yr)</t>
  </si>
  <si>
    <t>11. Share Price Return vs Sectoral &amp; Market Index (weekly, 1-yr) &amp; Volatility</t>
  </si>
  <si>
    <t>12. Major Announcements (last 1 year) &amp; Price Reaction — Chart</t>
  </si>
  <si>
    <t>13. Sources &amp; Data Gaps (READ FIRST)</t>
  </si>
  <si>
    <t>IMPORTANT — READ BEFORE SUBMITTING</t>
  </si>
  <si>
    <t>This workbook was assembled from live web research (news wires, brokerage notes, exchange filings, company press releases) because direct scripted access to screener.in, moneycontrol, NSE/BSE historical-data pages and the companies' own Annual Report PDFs was blocked in this environment (HTTP 403 on automated fetch). Cells shaded YELLOW with a red comment marker are figures that could not be independently verified and MUST be re-checked / filled in from primary sources (Annual Reports, screener.in, BSE/NSE filings) before you submit. See the 'Sources_and_Gaps' sheet for a full list.</t>
  </si>
  <si>
    <t>Products/services and market in which each company operates</t>
  </si>
  <si>
    <t>Adani Power Ltd (Target)</t>
  </si>
  <si>
    <t>Tata Power Company Ltd (Competitor)</t>
  </si>
  <si>
    <t>Torrent Power Ltd (Competitor)</t>
  </si>
  <si>
    <t>Positioning</t>
  </si>
  <si>
    <t>India's largest PRIVATE thermal (base-load) power producer; part of the Adani Group.</t>
  </si>
  <si>
    <t>India's largest vertically integrated power company (generation + transmission + distribution).</t>
  </si>
  <si>
    <t>Leading integrated power utility; part of Torrent Group (also pharma &amp; city-gas distribution).</t>
  </si>
  <si>
    <t>Core products/services</t>
  </si>
  <si>
    <t>Thermal power generation (subcritical to ultra-supercritical); sold via long-term &amp; short-term PPAs and merchant sales on power exchanges.</t>
  </si>
  <si>
    <t>Generation (thermal+hydro), Transmission, Distribution (regulated discoms); shifting toward 100% renewable generation; new-age products (solar rooftop, EV charging).</t>
  </si>
  <si>
    <t>Generation (gas, coal, solar, wind), Transmission (~1,340 ckm HV lines), Distribution (licensed + franchise).</t>
  </si>
  <si>
    <t>Market / geographic footprint</t>
  </si>
  <si>
    <t>12 plants across 8 states (Gujarat, Maharashtra, Karnataka, Rajasthan, Chhattisgarh, MP, Jharkhand, Tamil Nadu); ~7.3% of India's coal-based generation capacity; exports power to Bangladesh via Godda plant.</t>
  </si>
  <si>
    <t>Pan-India: Mumbai &amp; Delhi discoms, 4 Odisha discoms, Ajmer discom; ~12.6 million distribution customers; renewable assets nationwide; expanding into Bhutan hydro &amp; nuclear.</t>
  </si>
  <si>
    <t>Gujarat (Ahmedabad, Surat, Dahej), Dadra &amp; Nagar Haveli/Daman &amp; Diu, franchise areas Agra (UP) &amp; Bhiwandi (Maharashtra); ~4.3 million customers p.a.</t>
  </si>
  <si>
    <t>Installed capacity (approx., 2025-26)</t>
  </si>
  <si>
    <t>~18,150 MW (post Vidarbha acquisition, Jul 2025), all thermal.</t>
  </si>
  <si>
    <t>~11.6 GW renewable identified/under TPREL alone + thermal (Mundra 4 GW+) + hydro + distribution licenses covering 12.6mn customers.</t>
  </si>
  <si>
    <t>~2,730 MW gas + 362 MW coal + ~663 MW solar + ~1,220 MW wind (as of FY23/Jan-24 disclosures); Nabha Power (2x700MW coal) added June 2026.</t>
  </si>
  <si>
    <t>Strategic direction</t>
  </si>
  <si>
    <t>Capacity expansion via IBC/CIRP acquisitions (Mahan, Korba, Moxie, Vidarbha, JPVL); new Assam UMPP (3,200 MW, ~₹48,000 cr); entry into nuclear power (Adani Atomic Energy Ltd, Feb 2026); Bhutan hydro JV with Druk Green.</t>
  </si>
  <si>
    <t>Targeting ₹1 lakh crore revenue &amp; ₹10,000 cr PAT by 2030; nuclear, battery storage, solar manufacturing (Odisha); pumped hydro storage (Bhivpuri, Shirawta); Bhutan hydro portfolio (5,033 MW identified).</t>
  </si>
  <si>
    <t>₹80,000 crore 5-yr capex plan: +3 GW thermal (incl. Nabha), ~3.96 GW renewables, ~3 GW pumped storage; exploring Green Hydrogen/Ammonia.</t>
  </si>
  <si>
    <t>2. Growth Comparison: Sales, Assets, Profit, Market Price (FY19-FY26)</t>
  </si>
  <si>
    <t>₹ crore, Consolidated. FY24-FY26 columns VERIFIED from primary Annual Reports (uploaded). Yellow = still needs verification.</t>
  </si>
  <si>
    <t>Company / Metric</t>
  </si>
  <si>
    <t>FY19</t>
  </si>
  <si>
    <t>FY20</t>
  </si>
  <si>
    <t>FY21</t>
  </si>
  <si>
    <t>FY22</t>
  </si>
  <si>
    <t>FY23</t>
  </si>
  <si>
    <t>FY24</t>
  </si>
  <si>
    <t>FY25</t>
  </si>
  <si>
    <t>FY26</t>
  </si>
  <si>
    <t>CAGR</t>
  </si>
  <si>
    <t>Adani Power — Revenue / Total Income (₹ cr)</t>
  </si>
  <si>
    <t>Adani Power — Net Profit / PAT (₹ cr)</t>
  </si>
  <si>
    <t>Adani Power — Total Assets (₹ cr)</t>
  </si>
  <si>
    <t>N/A</t>
  </si>
  <si>
    <t>Adani Power — Employees (#)</t>
  </si>
  <si>
    <t>FY20-FY26 figures VERIFIED from Adani Power's audited Integrated Annual Reports (consolidated). FY19 revenue/PAT are secondary-source (Business Standard, May-2019 results coverage); FY19 Total Assets not available. Employees = STANDALONE permanent employees on Company rolls: FY21's count of just 84 reflects the pre-amalgamation structure — until 1-Oct-2021 the parent was largely a holding shell, with operating staff employed by the 6 subsidiaries merged in that year, so the series has a structural break and FY21 is NOT comparable to FY23+. FY24 PAT (₹20,829cr) was inflated by one-off other income (₹9,781cr incl. prior-period revenue recognition) vs FY25's normalised ₹12,750cr.</t>
  </si>
  <si>
    <t>Tata Power — Revenue / Total Income (₹ cr)</t>
  </si>
  <si>
    <t>Tata Power — Net Profit / PAT (₹ cr)</t>
  </si>
  <si>
    <t>Tata Power — Total Assets (₹ cr)</t>
  </si>
  <si>
    <t>Tata Power — Employees (#)</t>
  </si>
  <si>
    <t>FY21-FY26 figures VERIFIED from Tata Power's Integrated Annual Reports (consolidated, reported basis): PAT FY21 ₹1,439cr / FY22 ₹2,156cr / FY23 ₹3,810cr replace earlier secondary-source variants (1,424/2,298/3,878, which were pre-exceptional or pre-minority-interest bases). Revenue FY21-23 (33,239/42,576/56,033) is the company's own highlights-basis series incl. regulatory income, now confirmed in the FY22/FY23 Annual Reports; as-reported P&amp;L 'Revenue from Operations' is slightly lower (32,703/42,816/55,109). FY19/FY20 figures remain secondary-source. Employees = STANDALONE parent only (~2,800-3,300) — most of the group workforce sits in subsidiaries (TPREL, discoms), so do not compare with consolidated revenue.</t>
  </si>
  <si>
    <t>Torrent Power — Revenue / Total Income (₹ cr)</t>
  </si>
  <si>
    <t>Torrent Power — Net Profit / PAT (₹ cr)</t>
  </si>
  <si>
    <t>Torrent Power — Total Assets (₹ cr)</t>
  </si>
  <si>
    <t>Torrent Power — Employees (#)</t>
  </si>
  <si>
    <t>FY20-FY26 figures VERIFIED from Torrent Power's Integrated Annual Reports (consolidated). Only FY19 remains unverified (no FY19-20 report uploaded). FY22 PAT (₹458.70cr) was depressed by a ~₹1,300cr DGEN plant impairment. Employees = standalone permanent employees on Company rolls (Rule 5(1) disclosure) — Torrent runs most operations in the parent entity, so this series is closer to a true group headcount than Adani/Tata's standalone counts.</t>
  </si>
  <si>
    <t>Market price per share (₹, year-end 31-Mar)</t>
  </si>
  <si>
    <t>Adani Power — Year-end share price</t>
  </si>
  <si>
    <t>TO FILL</t>
  </si>
  <si>
    <t>Tata Power — Year-end share price</t>
  </si>
  <si>
    <t>Torrent Power — Year-end share price</t>
  </si>
  <si>
    <t>Comments</t>
  </si>
  <si>
    <t>SALES GROWTH: Adani Power's revenue rose from ₹27,842cr (FY20) to ₹57,865cr (FY26), ~13% CAGR, with the big jumps in FY23-FY24 driven by IBC acquisitions (Mahan, Korba) plus tariff/prior-period recoveries; FY25-FY26 revenue plateaued. Tata Power roughly doubled revenue FY20→FY26 (₹30,350cr→₹64,172cr), the FY22-23 surge reflecting the four Odisha discoms and high Mundra fuel pass-throughs. Torrent Power's revenue more than doubled (₹13,818cr→₹29,289cr), with the single biggest step in FY23 (+80%) from the DNH&amp;DD discom takeover and merchant gas sales. PROFIT GROWTH: Adani Power's swing is the most dramatic — from a ₹2,275cr loss (FY20) to ₹12,971cr PAT (FY26); FY24's ₹20,829cr spike was one-off-boosted and FY25/FY26 is the cleaner run-rate. Tata Power compounded PAT steadily every single year (₹1,439cr FY21 → ₹5,118cr FY26, ~29% CAGR) — the most consistent grower. Torrent is profitable but lumpy (FY22 impairment, FY25 peak, FY26 dip). ASSETS GROWTH: Adani Power's asset base compounded ~11% (₹75,025cr FY20 → ₹1,42,280cr FY26), accelerating sharply after FY24 as acquisitions/new capacity landed. Tata Power grew assets ~12% CAGR (₹98,839cr FY21 → ₹1,75,172cr FY26) — the largest absolute base. Torrent was static FY20-FY22 (~₹23-25,000cr) then accelerated to ₹45,193cr by FY26 (Nabha + capex cycle). MARKET PRICE: year-end share-price rows still need NSE/Yahoo data (yellow) to complete the fourth growth lens.</t>
  </si>
  <si>
    <t>Year</t>
  </si>
  <si>
    <t>Adani Power Revenue</t>
  </si>
  <si>
    <t>Tata Power Revenue</t>
  </si>
  <si>
    <t>Torrent Power Revenue</t>
  </si>
  <si>
    <t>Adani Power PAT</t>
  </si>
  <si>
    <t>Tata Power PAT</t>
  </si>
  <si>
    <t>Torrent Power PAT</t>
  </si>
  <si>
    <t>Adani Power Assets</t>
  </si>
  <si>
    <t>Tata Power Assets</t>
  </si>
  <si>
    <t>Torrent Power Assets</t>
  </si>
  <si>
    <t>3. Sales per Rupee of Asset Deployed &amp; Sales per Employee</t>
  </si>
  <si>
    <t>Sales per ₹ of asset = Revenue / Total Assets (x). Sales per employee = Revenue (₹ cr) / Employees, shown in ₹ lakh/employee.</t>
  </si>
  <si>
    <t>Adani Power — Sales / Total Assets (x)</t>
  </si>
  <si>
    <t>Adani Power — Sales / Employee (₹ lakh)</t>
  </si>
  <si>
    <t>Tata Power — Sales / Total Assets (x)</t>
  </si>
  <si>
    <t>Tata Power — Sales / Employee (₹ lakh)</t>
  </si>
  <si>
    <t>Torrent Power — Sales / Total Assets (x)</t>
  </si>
  <si>
    <t>Torrent Power — Sales / Employee (₹ lakh)</t>
  </si>
  <si>
    <t>SALES PER RUPEE OF ASSET (now computable FY20/FY21-FY26 from verified Annual Report data): Adani Power improved from ~0.37x (FY20, low utilisation/losses era) to a peak of ~0.65x (FY24), then fell back to ~0.41x (FY26) as its asset base ballooned ahead of revenue from new acquisitions still ramping up. Tata Power is stable in a ~0.34-0.45x band — typical of a regulated, asset-heavy integrated utility. Torrent Power is consistently the MOST asset-efficient of the three (~0.52-0.87x, peaking FY23 when DNH&amp;DD volumes hit a still-small asset base) — its regulated distribution business generates more revenue per rupee of assets than pure thermal generation does. SALES PER EMPLOYEE: comparable across time within Torrent (parent employs most staff: ~₹18-44 cr/employee trend) but NOT comparable across companies — Adani and Tata employee counts are standalone-parent only, while their revenue is consolidated (Tata's discoms/TPREL staff and Adani's pre-FY22 plant staff sit in subsidiaries). Adani's FY21 count of 84 (pre-amalgamation shell) makes that year's ratio meaningless and it is excluded from comment. Use the Torrent series as the benchmark and treat Adani/Tata Sales-per-Employee as indicative only, noting the basis in any write-up.</t>
  </si>
  <si>
    <t>4. Business Acquisitions (last ~5 years) &amp; Impact</t>
  </si>
  <si>
    <t>Deal size, status, and available data on post-acquisition impact on sales/profit/cash from operations.</t>
  </si>
  <si>
    <t>Company</t>
  </si>
  <si>
    <t>Date</t>
  </si>
  <si>
    <t>Target / Deal</t>
  </si>
  <si>
    <t>Deal Size (₹ cr)</t>
  </si>
  <si>
    <t>Status</t>
  </si>
  <si>
    <t>Route</t>
  </si>
  <si>
    <t>Impact on Sales/Profit/CFO post-acquisition</t>
  </si>
  <si>
    <t>Adani Power</t>
  </si>
  <si>
    <t>Mar 2022</t>
  </si>
  <si>
    <t>Essar Power MP → Mahan Energen Ltd (1,200 MW, MP)</t>
  </si>
  <si>
    <t>&gt;4,250</t>
  </si>
  <si>
    <t>Completed</t>
  </si>
  <si>
    <t>IBC/CIRP</t>
  </si>
  <si>
    <t>Lifted total operating capacity; management cites new-acquisition depreciation as a near-term drag on PBT, but capacity/EBITDA growth outweighs it. No standalone P&amp;L attribution disclosed publicly.</t>
  </si>
  <si>
    <t>Feb 2023</t>
  </si>
  <si>
    <t>DB Power (1,200 MW, Chhattisgarh)</t>
  </si>
  <si>
    <t>7,017 (deal signed)</t>
  </si>
  <si>
    <t>LAPSED — long-stop date expired unconsummated</t>
  </si>
  <si>
    <t>Negotiated M&amp;A</t>
  </si>
  <si>
    <t>None — deal did not close.</t>
  </si>
  <si>
    <t>Aug 2024</t>
  </si>
  <si>
    <t>Lanco Amarkantak → Korba Power Ltd (600 MW, Chhattisgarh)</t>
  </si>
  <si>
    <t>4,101</t>
  </si>
  <si>
    <t>NCLT-approved, completed</t>
  </si>
  <si>
    <t>Contributed to capacity growth to 17,550 MW (Q1 FY26); no standalone P&amp;L split disclosed.</t>
  </si>
  <si>
    <t>Coastal Energen → Moxie Power Generation Ltd (1,200 MW, Tamil Nadu) — 49% JV with DAIT</t>
  </si>
  <si>
    <t>~3,335 (to creditors)</t>
  </si>
  <si>
    <t>IBC/CIRP (JV, Adani 49%)</t>
  </si>
  <si>
    <t>Adds south-India footprint; equity-accounted as JV, so full revenue not consolidated line-by-line.</t>
  </si>
  <si>
    <t>Jul 2025</t>
  </si>
  <si>
    <t>Vidarbha Industries Power Ltd (600 MW, Nagpur)</t>
  </si>
  <si>
    <t>Not disclosed</t>
  </si>
  <si>
    <t>Took total operating capacity to 18,150 MW.</t>
  </si>
  <si>
    <t>~Mar 2026</t>
  </si>
  <si>
    <t>Jaiprakash Power Ventures Ltd — 24% stake via resolution plan (thermal + hydro assets)</t>
  </si>
  <si>
    <t>~14,535</t>
  </si>
  <si>
    <t>NCLT approved</t>
  </si>
  <si>
    <t>IBC/CIRP (implementing entity)</t>
  </si>
  <si>
    <t>Too recent for post-acquisition P&amp;L data; JP Power stock jumped ~29% in 2 days on the news.</t>
  </si>
  <si>
    <t>Dec 2025 (bid)</t>
  </si>
  <si>
    <t>GVK Energy — Alaknanda hydro (330 MW, Uttarakhand)</t>
  </si>
  <si>
    <t>~3,000-4,000 (bid range)</t>
  </si>
  <si>
    <t>Frontrunner reported; completion unconfirmed</t>
  </si>
  <si>
    <t>IBC/CIRP (bidding)</t>
  </si>
  <si>
    <t>Not yet completed as of research date — verify current status.</t>
  </si>
  <si>
    <t>2024 (bid)</t>
  </si>
  <si>
    <t>KSK Mahanadi Power (1,800 MW, Chhattisgarh)</t>
  </si>
  <si>
    <t>~27,000 (bid)</t>
  </si>
  <si>
    <t>Completion status unconfirmed</t>
  </si>
  <si>
    <t>Verify current status directly.</t>
  </si>
  <si>
    <t>Tata Power</t>
  </si>
  <si>
    <t>Mar 2021</t>
  </si>
  <si>
    <t>NESCO → TP Northern Odisha Distribution Ltd (TPNODL) — 51%</t>
  </si>
  <si>
    <t>191</t>
  </si>
  <si>
    <t>PPP discom privatization</t>
  </si>
  <si>
    <t>Part of a wave of 4 Odisha discom acquisitions (2020-21) that materially grew the T&amp;D segment's customer base (12.6mn customers) and revenue.</t>
  </si>
  <si>
    <t>2020-21</t>
  </si>
  <si>
    <t>TP Central/Western/Southern Odisha Distribution Ltds (TPCODL/TPWODL/TPSODL) — 51% each</t>
  </si>
  <si>
    <t>Not found</t>
  </si>
  <si>
    <t>See above — combined Odisha discom impact drove T&amp;D revenue growth through FY22-24.</t>
  </si>
  <si>
    <t>2023</t>
  </si>
  <si>
    <t>Resurgent Power Ventures — NRSS XXXVI Transmission Ltd &amp; South East UP Power Transmission Co Ltd (transmission SPVs)</t>
  </si>
  <si>
    <t>M&amp;A (transmission assets)</t>
  </si>
  <si>
    <t>Expands regulated transmission asset base; no standalone P&amp;L disclosed.</t>
  </si>
  <si>
    <t>Ongoing</t>
  </si>
  <si>
    <t>Dorjilung Hydro Power Ltd stake (Bhutan, 1,125 MW project)</t>
  </si>
  <si>
    <t>In development</t>
  </si>
  <si>
    <t>JV/equity stake</t>
  </si>
  <si>
    <t>Development-stage; no revenue contribution yet.</t>
  </si>
  <si>
    <t>Jun 2026</t>
  </si>
  <si>
    <t>Ryapte Power (transmission SPV) — Letter of Intent</t>
  </si>
  <si>
    <t>LOI stage</t>
  </si>
  <si>
    <t>M&amp;A</t>
  </si>
  <si>
    <t>Too recent — no impact data.</t>
  </si>
  <si>
    <t>Torrent Power</t>
  </si>
  <si>
    <t>Apr 2022 (LoI Feb 2021)</t>
  </si>
  <si>
    <t>51% stake, Dadra &amp; Nagar Haveli and Daman &amp; Diu (DNH&amp;DD) Power Distribution Corp Ltd</t>
  </si>
  <si>
    <t>~555 (bid)</t>
  </si>
  <si>
    <t>Completed (after litigation delay)</t>
  </si>
  <si>
    <t>Distribution electricity-purchase volume +63.2% YoY in FY23 (30,037 MU vs 18,405 MU) — a major driver of the FY23 revenue jump to ₹26,076 cr.</t>
  </si>
  <si>
    <t>Jul 2022</t>
  </si>
  <si>
    <t>Wind Two Renergy — 100% stake</t>
  </si>
  <si>
    <t>~4.1 (US$ mn, i.e. ~₹34 cr)</t>
  </si>
  <si>
    <t>Adds wind capacity; no standalone P&amp;L disclosed.</t>
  </si>
  <si>
    <t>~2022-23</t>
  </si>
  <si>
    <t>Visual Percept Solar Projects (25 MW solar, Gujarat)</t>
  </si>
  <si>
    <t>163</t>
  </si>
  <si>
    <t>25-year PPA signed; incremental to solar segment.</t>
  </si>
  <si>
    <t>Jun 2026 (SPA Feb 2026)</t>
  </si>
  <si>
    <t>Nabha Power Ltd — 100% (2x700 MW coal, Punjab), from L&amp;T Power Development</t>
  </si>
  <si>
    <t>~3,632-3,661</t>
  </si>
  <si>
    <t>Lifts total generation capacity from ~5 GW to ~6.4 GW; stock rose ~39% in Apr 2026 partly on this news (pre-completion announcement effect).</t>
  </si>
  <si>
    <t>All three companies have grown primarily through IBC/CIRP-route or PPP-route acquisitions rather than open-market M&amp;A, reflecting the sector's history of stressed/under-construction assets (Adani Power, Tata Power distribution) and government discom-privatization programmes (Tata Power's Odisha discoms, Torrent Power's DNH&amp;DD). Adani Power has been the most acquisitive by deal count and value (five completed + two pending IBC deals since 2022, plus a 24% stake in Jaiprakash Power via a ~₹14,535 cr resolution plan), consistent with its capacity nearly doubling since FY22. None of the three companies publicly disclose acquisition-specific post-deal P&amp;L/cash-flow attribution — this had to be inferred qualitatively from capacity growth and management commentary; a precise before/after contribution analysis would require the acquired entities' standalone financial statements (available via MCA/ROC filings) cross-referenced against the parent's segment note.</t>
  </si>
  <si>
    <t>5. Shareholding Pattern</t>
  </si>
  <si>
    <t>As at 31-Mar-2026 for Adani Power/Tata Power/Torrent Power — VERIFIED from each company's FY25-26 Annual Report. Major shareholder = &gt;5% of equity.</t>
  </si>
  <si>
    <t>Metric</t>
  </si>
  <si>
    <t>Notes</t>
  </si>
  <si>
    <t>Promoter holding (%)</t>
  </si>
  <si>
    <t>74.96% (Promoter &amp; Promoter Group, per FY26 Annual Report shareholding table)</t>
  </si>
  <si>
    <t>46.86% total promoter group; Tata Sons Pvt Ltd alone = 45.21% (per FY26 Annual Report)</t>
  </si>
  <si>
    <t>51.09% — Torrent Investments Ltd (formerly Torrent Investments Pvt Ltd), unchanged FY25→FY26 (per FY26 Annual Report)</t>
  </si>
  <si>
    <t>VERIFIED from FY25-26 Annual Reports (uploaded).</t>
  </si>
  <si>
    <t>Promoter pledge</t>
  </si>
  <si>
    <t>No pledge of promoter shares disclosed in the FY26 Annual Report (only routine subsidiary-loan security pledges by the Company, unrelated to promoter shareholding).</t>
  </si>
  <si>
    <t>'Company has not raised loans during the year on the pledge of securities held in its subsidiaries, joint ventures...' — no promoter share pledge disclosed.</t>
  </si>
  <si>
    <t>No pledge of promoter shares disclosed in the FY26 Annual Report.</t>
  </si>
  <si>
    <t>VERIFIED (nil promoter pledge) from FY25-26 Annual Reports for all three.</t>
  </si>
  <si>
    <t>FII / FPI holding (%)</t>
  </si>
  <si>
    <t>11.74% (secondary-source snapshot; not separately re-verified in the Annual Report text extract)</t>
  </si>
  <si>
    <t>~10.0-10.04% (secondary-source snapshot)</t>
  </si>
  <si>
    <t>8.4%-14.2% (conflicting across sources/dates)</t>
  </si>
  <si>
    <t>Category-wise FII/DII % not captured from the Annual Report's shareholding table in this pass — cross-check the full SHP table in each PDF if needed.</t>
  </si>
  <si>
    <t>DII / Mutual Fund holding (%)</t>
  </si>
  <si>
    <t>3.69% (DII, secondary-source snapshot)</t>
  </si>
  <si>
    <t>8.64% (DII, one source) vs 18.28% (DII, another) — MFs alone ~8.89-9.63%</t>
  </si>
  <si>
    <t>SBI Mutual Fund confirmed at 8.57% (FY26, up from 7.95% FY25) — VERIFIED from Annual Report top-10-shareholders table.</t>
  </si>
  <si>
    <t>6-month change for SBI MF in Torrent Power (7.95%→8.57%) is now VERIFIED; other DII figures remain secondary-source.</t>
  </si>
  <si>
    <t>Public / Retail (%)</t>
  </si>
  <si>
    <t>9.62% (secondary-source snapshot)</t>
  </si>
  <si>
    <t>~21.5-25.6% (free float, incl. FII+DII+public)</t>
  </si>
  <si>
    <t>~9.3-17.68% (conflicting by source/date)</t>
  </si>
  <si>
    <t>Free float (100% - promoter%)</t>
  </si>
  <si>
    <t>~25.04%</t>
  </si>
  <si>
    <t>~53.14%</t>
  </si>
  <si>
    <t>~48.91%</t>
  </si>
  <si>
    <t>Approx.; = 100% - promoter%.</t>
  </si>
  <si>
    <t>Named shareholder(s) holding &gt;5%</t>
  </si>
  <si>
    <t>NONE currently &gt;5% besides promoter group — GQG Partners (Goldman Sachs Trust II - Goldman Sachs GQG Partner) now holds only 3.30% as of FY26 (down from ~7.7-8.1% in 2023), per the FY26 Annual Report's top-10-shareholders table. No other non-promoter holder exceeds 5%.</t>
  </si>
  <si>
    <t>Life Insurance Corporation of India (LIC) — 5.18% as at 31-Mar-2026 (up from 2.96% at 31-Mar-2025), crossing the 5% threshold during FY26 — VERIFIED from the FY26 Annual Report's 'shareholders holding more than 5%' table.</t>
  </si>
  <si>
    <t>Gujarat Urja Vikas Nigam Ltd (GUVNL, Gujarat's state power utility) — 6.95%, unchanged FY25→FY26 — VERIFIED from the FY26 Annual Report's top-10-shareholders table. (Earlier flagged 'Aditya Birla Group ~6.34%' claim was NOT found in the primary source and should be disregarded.)</t>
  </si>
  <si>
    <t>All three figures in this row are now VERIFIED from primary Annual Reports, replacing prior unconfirmed secondary-source claims.</t>
  </si>
  <si>
    <t>Adani Power has by far the highest promoter concentration (~75%) of the three, leaving the smallest free float (~25%) — typical of Adani Group listed entities, and a legacy of tightened promoter control after the 2023 Hindenburg-report episode (with an emphasis on 'zero pledge' messaging across group companies since). Tata Power's promoter stake (Tata Sons, ~47%) is the lowest of the three, giving it the widest institutional/public float and closest to the SEBI minimum public shareholding norms. Torrent Power sits in between (~51% promoter). Shareholding figures pulled from secondary aggregators showed real inconsistencies across sources/dates for FII/DII splits at all three companies — before using these in the final submission, pull ONE consistent-quarter shareholding-pattern XBRL filing per company directly from BSE/NSE (each company files this quarterly) rather than mixing snapshots from different dates.</t>
  </si>
  <si>
    <t>6. Reportable Business Segments (Ind AS 108) — VERIFIED from Annual Reports</t>
  </si>
  <si>
    <t>₹ crore, consolidated. Extracted directly from the 'Segment Reporting' notes of each company's audited Annual Reports (FY21-FY26 reports uploaded by user).</t>
  </si>
  <si>
    <t>ADANI POWER — 2 segments: 'Power Generation &amp; related activities' + 'Trading, Investment &amp; other activities'</t>
  </si>
  <si>
    <t>Particulars</t>
  </si>
  <si>
    <t>Segment Revenue — Power Generation</t>
  </si>
  <si>
    <t>Segment Revenue — Trading/Investment/Other</t>
  </si>
  <si>
    <t>Segment Results — Power Generation</t>
  </si>
  <si>
    <t>Segment Results — Trading/Investment/Other</t>
  </si>
  <si>
    <t>Segment Assets — Power Generation</t>
  </si>
  <si>
    <t>Segment Assets — Trading/Investment/Other</t>
  </si>
  <si>
    <t>FY20/21 segment results shown as N/A because the FY21 report used a different basis ('profit before interest…', not comparable); FY22-23 results are as restated in the FY23 report after a CODM methodology change. FY26 Trading revenue was nil; segment results shown are pre-tax basis per each year's note.</t>
  </si>
  <si>
    <t>TATA POWER — 4 segments: Generation (Thermal &amp; Hydro), Renewables, Transmission &amp; Distribution, Others</t>
  </si>
  <si>
    <t>Segment Revenue — Generation/Thermal &amp; Hydro</t>
  </si>
  <si>
    <t>Segment Revenue — Renewables</t>
  </si>
  <si>
    <t>Segment Revenue — Transmission &amp; Distribution</t>
  </si>
  <si>
    <t>Segment Revenue — Others</t>
  </si>
  <si>
    <t>Segment Results — Generation/Thermal &amp; Hydro</t>
  </si>
  <si>
    <t>Segment Results — Renewables</t>
  </si>
  <si>
    <t>Segment Results — Transmission &amp; Distribution</t>
  </si>
  <si>
    <t>Segment Results — Others</t>
  </si>
  <si>
    <t>Segment Assets — Generation/Thermal &amp; Hydro</t>
  </si>
  <si>
    <t>Segment Assets — Renewables</t>
  </si>
  <si>
    <t>Segment Assets — Transmission &amp; Distribution</t>
  </si>
  <si>
    <t>Segment Assets — Others + Unallocable</t>
  </si>
  <si>
    <t>Revenue shown gross (before inter-segment eliminations of ~₹4,000-5,400cr/yr, mostly Generation→T&amp;D coal/power sales). 'Generation' was renamed 'Thermal &amp; Hydro' from the FY25 report. FY23 Generation result of ₹5,092cr was later restated in the FY24 report to ₹1,528cr segment result + ₹3,564cr exceptional; the as-originally-reported figure is shown here. FY26 Thermal &amp; Hydro result derived as total-minus-other-segments (₹9,891.54cr total). FY26 revenue drop in Thermal &amp; Hydro reflects the Mundra shutdown; Renewables surged on new capacity.</t>
  </si>
  <si>
    <t>TORRENT POWER — NO reportable segments under Ind AS 108</t>
  </si>
  <si>
    <t>Per Note 53/54 ('Operating Segments') of Torrent Power's FY23 Annual Report (and equivalent notes in other years): "the Group does not have any reportable segment as per Ind AS-108 'Operating Segments'" — the CODM manages Generation, Transmission and Distribution as ONE integrated electricity business, and the cable business is immaterial (below reportable thresholds for revenue, profit and assets). This is an important verified correction: earlier drafts of this sheet assumed 3 reportable segments (Generation/Transmission/Distribution) from the MD&amp;A's business description — the MD&amp;A discusses those businesses operationally, but the statutory segment note reports a single segment. Any segment-level financial comparison for Torrent must therefore rely on MD&amp;A operating metrics (e.g., FY23 distribution electricity purchases +63.2% YoY to 30,037 MU after the DNH&amp;DD takeover), not audited segment P&amp;L data, because none is published.</t>
  </si>
  <si>
    <t>Comparative analysis — who is doing well in which segment?</t>
  </si>
  <si>
    <t>GENERATION is the only segment where all three effectively compete, and the verified numbers show a stark contrast: Adani Power's generation segment grew revenue ~2.1x (₹26,006cr FY20 → ₹54,241cr FY26) with segment results of ₹15,758-20,557cr in FY24-26 — vastly more profitable than Tata Power's generation segment (results of only ₹1,138-2,879cr on ₹11,636-19,739cr revenue in the same years, dragged by the Mundra plant's fuel economics and eventual shutdown). Adani is unambiguously the generation winner. RENEWABLES: only Tata Power reports it separately, and it is now their growth engine — revenue up 2.6x (₹5,888cr FY21 → ₹15,028cr FY26), results up 2.9x (₹1,494cr → ₹4,341cr), and segment assets up 2.5x to ₹56,921cr, overtaking every other Tata segment. Adani Power has no renewables segment (that sits in sister company Adani Green). TRANSMISSION &amp; DISTRIBUTION: Tata Power's largest and steadiest segment — revenue grew ₹16,830cr → ₹41,339cr (FY21→FY26, boosted by the Odisha discoms) with consistently positive, regulated-return results (₹1,677cr → ₹4,308cr). Torrent's distribution business is economically similar (regulated, stable) but not separately reported. INDUSTRY CONTEXT: India's power demand grew ~7-8%/yr (CEA) over this period — Adani's generation growth (~13% CAGR) and Tata's renewables growth (~21% CAGR) both outpaced the sector, largely through acquisitions and capacity build-out respectively, while Tata's generation segment underperformed the sector.</t>
  </si>
  <si>
    <t>Key subsidiaries and % holding, with one-line business description.</t>
  </si>
  <si>
    <t>Subsidiary</t>
  </si>
  <si>
    <t>% Holding</t>
  </si>
  <si>
    <t>Business Description</t>
  </si>
  <si>
    <t>Mahan Energen Ltd (MEL)</t>
  </si>
  <si>
    <t>94% (per FY26 AOC-1 — earlier reported as 100%)</t>
  </si>
  <si>
    <t>1,200+ MW coal thermal, MP; ex-Essar Power MP (CIRP, Mar 2022). FY26: turnover ₹3,614cr, PAT ₹784cr.</t>
  </si>
  <si>
    <t>Korba Power Ltd (KPL, ex-Lanco Amarkantak)</t>
  </si>
  <si>
    <t>100%</t>
  </si>
  <si>
    <t>600 MW coal thermal, Chhattisgarh (CIRP, Sep 2024). FY26: turnover ₹1,552cr, PAT ₹354cr.</t>
  </si>
  <si>
    <t>Moxie Power Generation Ltd (ex-Coastal Energen)</t>
  </si>
  <si>
    <t>49% — but consolidated as a SUBSIDIARY in AOC-1 Part A (control basis), not a JV</t>
  </si>
  <si>
    <t>1,200 MW, Thoothukudi, Tamil Nadu. FY26: turnover ₹2,985cr, PAT ₹268cr. Listed in AOC-1 subsidiaries despite 49% equity — control established via arrangement with DAIT.</t>
  </si>
  <si>
    <t>Vidarbha Industries Power Ltd (VIPL)</t>
  </si>
  <si>
    <t>100% (acquired 07-Jul-2025)</t>
  </si>
  <si>
    <t>600 MW, Nagpur (CIRP). FY26: turnover ₹1,327cr, PAT ₹347cr.</t>
  </si>
  <si>
    <t>Adani Power Dahej Ltd / Pench Thermal Energy (MP) Ltd / Kutchh Power Generation Ltd</t>
  </si>
  <si>
    <t>100% each</t>
  </si>
  <si>
    <t>Greenfield thermal project SPVs (Dahej, Pench, Kutchh).</t>
  </si>
  <si>
    <t>Anuppur Thermal Energy (MP) / Mirzapur Thermal Energy (UP) / Orrisa Thermal Energy</t>
  </si>
  <si>
    <t>100% each (acquired/renamed 2024)</t>
  </si>
  <si>
    <t>New thermal project SPVs for capacity expansion (Anuppur, Mirzapur, Odisha sites).</t>
  </si>
  <si>
    <t>Mahan Fuel Management / Resurgent Fuel Management Ltd</t>
  </si>
  <si>
    <t>Fuel sourcing/management SPVs.</t>
  </si>
  <si>
    <t>Alcedo / Chandenvalle / Emberiza Infra Park Ltd</t>
  </si>
  <si>
    <t>Infrastructure park SPVs.</t>
  </si>
  <si>
    <t>Adani Atomic Energy Ltd (AAEL)</t>
  </si>
  <si>
    <t>100% (incorporated 11-Feb-2026)</t>
  </si>
  <si>
    <t>Nuclear power entry post SHANTI Act 2025.</t>
  </si>
  <si>
    <t>Adani Power Middle East Ltd (AED) / Adani Power Global Pte Ltd (US$)</t>
  </si>
  <si>
    <t>100% each (incorporated 2024)</t>
  </si>
  <si>
    <t>Overseas ventures (Middle East; Singapore trading/holding).</t>
  </si>
  <si>
    <t>Adani Power Resources Ltd</t>
  </si>
  <si>
    <t>51%</t>
  </si>
  <si>
    <t>Resource-related SPV (immaterial size).</t>
  </si>
  <si>
    <t>[TOTAL: 19 entities in FY26 AOC-1 Part A — fully verified]</t>
  </si>
  <si>
    <t>—</t>
  </si>
  <si>
    <t>The 6 operating cos (Adani Power Maharashtra/Rajasthan, Udupi, Raipur/Raigarh Energen, Adani Power (Mundra)) were amalgamated INTO the parent effective 1-Oct-2021 and no longer appear.</t>
  </si>
  <si>
    <t>Tata Power Renewable Energy Ltd (TPREL)</t>
  </si>
  <si>
    <t>88.57% (per FY26 AOC-1 — VERIFIED; not ~100% as earlier assumed)</t>
  </si>
  <si>
    <t>Renewables arm (solar/wind/rooftop/EV charging). FY26: turnover ₹11,748cr, PAT ₹1,268cr. ~11.4% held by BlackRock-led consortium since FY23 equity raise.</t>
  </si>
  <si>
    <t>Tata Power Delhi Distribution Ltd (Tata Power-DDL)</t>
  </si>
  <si>
    <t>51% (VERIFIED per FY26 AOC-1)</t>
  </si>
  <si>
    <t>North Delhi discom (JV with Delhi Govt). FY26: turnover ₹10,426cr, PAT ₹1,299cr.</t>
  </si>
  <si>
    <t>TP Central / Western / Southern / Northern Odisha Distribution Ltds</t>
  </si>
  <si>
    <t>51% each (VERIFIED)</t>
  </si>
  <si>
    <t>Four Odisha discoms (PPP, 2020-21). FY26 turnover: TPCODL ₹6,313cr, TPWODL ₹6,355cr, TPSODL ₹2,542cr, TPNODL ₹4,769cr; all PAT-positive.</t>
  </si>
  <si>
    <t>Tata Power Solar Systems Ltd (TPSSL)</t>
  </si>
  <si>
    <t>In AOC-1 (100%, via TPREL structure)</t>
  </si>
  <si>
    <t>Solar cell/module manufacturing + EPC.</t>
  </si>
  <si>
    <t>Coastal Gujarat Power Ltd (CGPL) — NOTE</t>
  </si>
  <si>
    <t>Merged into parent, 1-Apr-2020</t>
  </si>
  <si>
    <t>Mundra UMPP is now a direct Generation-segment asset, not a subsidiary.</t>
  </si>
  <si>
    <t>[TOTAL: ~113 entities in FY26 AOC-1 Part A]</t>
  </si>
  <si>
    <t>Includes dozens of renewable/transmission SPVs under TPREL and Resurgent Power Ventures; full list in FY26 Annual Report pg. 666+ (AOC-1).</t>
  </si>
  <si>
    <t>Torrent Power Grid Ltd</t>
  </si>
  <si>
    <t>74% (VERIFIED; PowerGrid Corp holds 26%)</t>
  </si>
  <si>
    <t>Interstate power transmission JV-structured subsidiary.</t>
  </si>
  <si>
    <t>Transmission SPVs (Solapur Transmission Ltd &amp; 4 others at 74%)</t>
  </si>
  <si>
    <t>74% each (per FY26 AOC-1)</t>
  </si>
  <si>
    <t>Intra/interstate transmission project SPVs.</t>
  </si>
  <si>
    <t>Torrent Pipavav Generation Ltd</t>
  </si>
  <si>
    <t>95% (VERIFIED)</t>
  </si>
  <si>
    <t>Power generation project, Pipavav.</t>
  </si>
  <si>
    <t>Dadra &amp; Nagar Haveli and Daman &amp; Diu Power Distribution Corp Ltd</t>
  </si>
  <si>
    <t>51% (VERIFIED)</t>
  </si>
  <si>
    <t>UT power distribution licensee (acquired Apr 2022).</t>
  </si>
  <si>
    <t>Nabha Power Ltd</t>
  </si>
  <si>
    <t>100% (acquired Jun 2026)</t>
  </si>
  <si>
    <t>2x700 MW supercritical coal plant, Punjab (from L&amp;T).</t>
  </si>
  <si>
    <t>Torrent Solargen, Latur Renewable, Surya Vidyut, Torrent Akshay Urja, Jodhpur Wind Farms, MSKVY solar SPVs, Torrent Electricals, Newzone India, etc.</t>
  </si>
  <si>
    <t>Renewable generation SPVs (solar/wind incl. Maharashtra MSKVY series), cables/electricals, and other ventures.</t>
  </si>
  <si>
    <t>[TOTAL: ~60 entities in FY26 AOC-1 — 53 at 100%, 5 at 74%, 1 at 95%, 1 at 51%]</t>
  </si>
  <si>
    <t>Verified from the FY26 Annual Report AOC-1 statement.</t>
  </si>
  <si>
    <t>Tata Generation Rev</t>
  </si>
  <si>
    <t>Tata Renewables Rev</t>
  </si>
  <si>
    <t>Tata T&amp;D Rev</t>
  </si>
  <si>
    <t>Adani Generation Rev</t>
  </si>
  <si>
    <t>Associate / JV</t>
  </si>
  <si>
    <t>Stake</t>
  </si>
  <si>
    <t>Wangchhu Hydroelectric Power Ltd (Bhutan)</t>
  </si>
  <si>
    <t>JV (per FY26 AOC-1 Part B — the Group's only listed associate/JV)</t>
  </si>
  <si>
    <t>570 MW Wangchhu hydro project JV with Druk Green Power Corp (~₹6,000 cr); Shareholders Agreement Sep 2025; 'yet to commence operations' per AOC-1. VERIFIED.</t>
  </si>
  <si>
    <t>Moxie Power Generation Ltd — RECLASSIFIED</t>
  </si>
  <si>
    <t>49% equity but consolidated as SUBSIDIARY (see Sheet 7)</t>
  </si>
  <si>
    <t>CORRECTION: earlier flagged as a JV; the FY26 AOC-1 lists it under Part A (Subsidiaries) — Adani has control despite 49% equity.</t>
  </si>
  <si>
    <t>Jaiprakash Power Ventures Ltd (JPVL)</t>
  </si>
  <si>
    <t>24% (indirect, via resolution plan)</t>
  </si>
  <si>
    <t>Adani Power as 'Implementing Entity'; NCLT-approved ~Mar 2026 (~₹14,535 cr). Not yet in FY26 AOC-1 Part B (transaction completing post year-end).</t>
  </si>
  <si>
    <t>Tata Projects, Resurgent Power Ventures (26%), industrial JVs &amp; associates</t>
  </si>
  <si>
    <t>Various</t>
  </si>
  <si>
    <t>Tata Power holds numerous associates/JVs (share of profit ₹708cr FY26, ₹793cr FY25 per consolidated P&amp;L); full Part B list in FY26 Annual Report AOC-1.</t>
  </si>
  <si>
    <t>Dorjilung Hydro Power Ltd (Bhutan)</t>
  </si>
  <si>
    <t>Stake not disclosed in extract</t>
  </si>
  <si>
    <t>1,125 MW hydro project under development with Druk Green.</t>
  </si>
  <si>
    <t>Associates (2 per earlier AOC-1 references)</t>
  </si>
  <si>
    <t>Not extracted</t>
  </si>
  <si>
    <t>Torrent's FY26 AOC-1 Part B not extracted in this pass — the Part A subsidiary data above is verified; pull Part B from the same annexure if associate detail is needed.</t>
  </si>
  <si>
    <t>9. Investments (excl. Subsidiaries/Associates/JVs) — up to FY2023</t>
  </si>
  <si>
    <t>Finding</t>
  </si>
  <si>
    <t>Data Quality</t>
  </si>
  <si>
    <t>VERIFIED from FY23 consolidated Investments notes: NON-CURRENT — ₹42.51cr total as at 31-Mar-2023 (vs ₹0.01cr FY22), comprising ₹42.50cr of 0.001% Optionally Convertible Cumulative Debentures of Sal Technologies and Solutions Ltd (4.25cr units, new in FY23), a ₹0.01cr National Saving Certificate, and a negligible FVTOCI equity stake in Adani Naval Defence Systems &amp; Technologies Ltd. CURRENT — ₹611.54cr in unquoted mutual funds (SBI Liquid Fund ₹608.42cr + SBI Overnight Fund ₹3.12cr) vs ₹183.24cr (FY22, SBI Overnight only). Pattern: treasury parked in liquid MFs, scale rising with cash generation; almost no discretionary long-term securities portfolio.</t>
  </si>
  <si>
    <t>VERIFIED (FY23 Annual Report)</t>
  </si>
  <si>
    <t>VERIFIED from FY23 consolidated Investments note: non-current investments OTHER than associates/JVs totalled ₹1,301.21cr as at 31-Mar-2023 (vs ₹1,169.81cr FY22), comprising equity shares carried at FVTOCI/FVTPL and Government Securities (unquoted) of ₹128.10cr (FY22: ₹124.26cr). The earlier secondary-source figure of '~₹12,064cr non-current investments' conflated investments in associates/JVs (equity-method carrying values) with this third-party portfolio — use ₹1,301cr for the ex-subsidiary/associate/JV basis the assignment asks for.</t>
  </si>
  <si>
    <t>VERIFIED (FY23 Annual Report) — replaces earlier unverified figure</t>
  </si>
  <si>
    <t>VERIFIED from FY23 consolidated Investments notes: NON-CURRENT — quoted investments (incl. Government of India bonds held as the GERC Multi-Year-Tariff-mandated 'contingency reserve' for its Gujarat distribution licences) of ~₹15.94cr market value ₹15.70cr as at 31-Mar-2023 (down from ₹132.82cr FY22 as bonds matured/were reclassified). CURRENT — ₹682.31cr total (vs ₹253.27cr FY22): unquoted mutual funds ₹656.03cr + statutory contingency-reserve investments ₹1.93cr + other ₹24.35cr. The GoI-bond holdings are regulatory-mandated (usable only for GERC-specified purposes), not discretionary treasury.</t>
  </si>
  <si>
    <t>All three companies' figures above are now extracted directly from the consolidated 'Investments' notes of the FY2022-23 Annual Reports uploaded to the repo. Common pattern: all three park treasury cash in liquid/overnight mutual funds; Torrent additionally holds regulatory-mandated GoI bonds (GERC contingency reserve); none runs a material discretionary securities portfolio.</t>
  </si>
  <si>
    <t>10. Major Changes in Financing (last 5 years)</t>
  </si>
  <si>
    <t>Event</t>
  </si>
  <si>
    <t>Amount (₹ cr)</t>
  </si>
  <si>
    <t>Jan 2024</t>
  </si>
  <si>
    <t>CRISIL upgraded bank-facility rating to AA-/Stable from A/Stable</t>
  </si>
  <si>
    <t>Feb 2025</t>
  </si>
  <si>
    <t>CRISIL upgraded to AA/Stable from AA-/Positive on ₹38,000 cr long-term bank facilities; assigned AA/Stable to proposed NCDs</t>
  </si>
  <si>
    <t>38,000 (facilities); 11,000 (proposed NCDs)</t>
  </si>
  <si>
    <t>FY22→FY24</t>
  </si>
  <si>
    <t>Deleveraging: net debt/EBITDA fell from ~4.0x (Mar-22) to 3.3x (Mar-23) to 1.4x (Mar-24)</t>
  </si>
  <si>
    <t>Net debt ~26,270-26,545 (Q4 FY24)</t>
  </si>
  <si>
    <t>FY24→FY25</t>
  </si>
  <si>
    <t>Shareholders' funds grew from ₹43,145 cr (31-Mar-24) to ₹56,347 cr (31-Mar-25)</t>
  </si>
  <si>
    <t>+13,202</t>
  </si>
  <si>
    <t>1-Aug-2025 / 22-Sep-2025</t>
  </si>
  <si>
    <t>1:5 stock split announced / effective (face value ₹10 → ₹2) — capital structure change, not a capital raise</t>
  </si>
  <si>
    <t>30-Jul-2020</t>
  </si>
  <si>
    <t>₹2,600 cr preferential allotment of ~49.06 cr shares to promoter Tata Sons at ₹53/share, to cut debt &amp; fund capex; raised promoter stake 35.27%→45.21%</t>
  </si>
  <si>
    <t>2,600</t>
  </si>
  <si>
    <t>Apr-2024</t>
  </si>
  <si>
    <t>CRISIL upgraded to AA+/Stable from AA/Positive, citing improved generation/distribution profitability</t>
  </si>
  <si>
    <t>Deleveraging: net debt/EBITDA fell from ~4.5x (FY22) to 3.8x (FY23), sustained &lt;4.0x through FY24; debtor days improved from &gt;150 to ~102 days</t>
  </si>
  <si>
    <t>Dec-2024</t>
  </si>
  <si>
    <t>Maiden QIP — ₹3,500 cr raised at ₹1,503/share (~2.32 cr shares); first Torrent Group equity raise in ~3 decades; ~4x oversubscribed (bids ~₹14,000 cr)</t>
  </si>
  <si>
    <t>3,500</t>
  </si>
  <si>
    <t>Apr-2022</t>
  </si>
  <si>
    <t>Series 8 NCDs — ₹600 cr (coupons 6.20%-7.45% across tenors)</t>
  </si>
  <si>
    <t>600</t>
  </si>
  <si>
    <t>Mar-2026</t>
  </si>
  <si>
    <t>NCD issuance, 8/9/10-yr tenor</t>
  </si>
  <si>
    <t>2,000</t>
  </si>
  <si>
    <t>Jun-2026</t>
  </si>
  <si>
    <t>NCDs across 4 tranches (3-10yr, coupons 8.10%-8.20%); board also sanctioned up to ₹10,000 cr NCD private placement tied to an ₹80,000 cr 5-yr capex plan</t>
  </si>
  <si>
    <t>3,800 (allotted); up to 10,000 (sanctioned)</t>
  </si>
  <si>
    <t>Dec-2023 / Feb-2024 / Feb-2025</t>
  </si>
  <si>
    <t>CRISIL reaffirmed AA+/Stable (LT) and A1+ (ST) at each review; net debt/EBITDA improved 2.20x (FY24) → 1.40x (FY25)</t>
  </si>
  <si>
    <t>All three companies have been actively de-leveraging and improving credit ratings over the last five years — a sector-wide trend as thermal-generation cash flows normalized post-COVID and renewable capex was increasingly funded with cheaper, longer-tenor debt. Adani Power's improvement is the most dramatic in relative terms (net debt/EBITDA from ~4x to ~1.4x within two years), consistent with its swing from losses to strong profitability. Tata Power funded its FY20 deleveraging via a promoter-only preferential allotment rather than a public offering, keeping the raise off the open market. Torrent Power is notable for having gone ~30 years without a public equity raise before its Dec-2024 QIP — a signal of a more conservative, debt/promoter-funded capital structure historically, now shifting toward institutional equity to fund its large (₹80,000 cr) five-year capex programme.</t>
  </si>
  <si>
    <t>11. Share Price Return vs Sector Index (weekly, 14-Jul-2025 to 15-Jul-2026) &amp; Volatility</t>
  </si>
  <si>
    <t>COMPUTED from actual Yahoo Finance weekly adjusted-close data (split-adjusted), saved to repo as *_weekly.htm and parsed. 54 weekly points per series. Nifty Energy = sector index. Nifty 50 column pending (see note).</t>
  </si>
  <si>
    <t>Nifty Energy (sector)</t>
  </si>
  <si>
    <t>Nifty 50 (market)</t>
  </si>
  <si>
    <t>Price at start (14-Jul-2025, adj)</t>
  </si>
  <si>
    <t>118.93</t>
  </si>
  <si>
    <t>405.39</t>
  </si>
  <si>
    <t>1,349.89</t>
  </si>
  <si>
    <t>36,231.65</t>
  </si>
  <si>
    <t>24,968.40</t>
  </si>
  <si>
    <t>Price at end (15-Jul-2026)</t>
  </si>
  <si>
    <t>218.97</t>
  </si>
  <si>
    <t>380.90</t>
  </si>
  <si>
    <t>1,441.10</t>
  </si>
  <si>
    <t>39,381.25</t>
  </si>
  <si>
    <t>24,078.50</t>
  </si>
  <si>
    <t>52-week weekly-close range</t>
  </si>
  <si>
    <t>113.40 - 243.37</t>
  </si>
  <si>
    <t>343.12 - 441.81</t>
  </si>
  <si>
    <t>1,204.41 - 1,730.01</t>
  </si>
  <si>
    <t>33,098.30 - 40,878.00</t>
  </si>
  <si>
    <t>22,713.10 - 26,328.55</t>
  </si>
  <si>
    <t>1-year return (COMPUTED)</t>
  </si>
  <si>
    <t>+84.1%</t>
  </si>
  <si>
    <t>-6.0%</t>
  </si>
  <si>
    <t>+6.8%</t>
  </si>
  <si>
    <t>+8.7%</t>
  </si>
  <si>
    <t>-3.6%</t>
  </si>
  <si>
    <t>Weekly return std dev (COMPUTED)</t>
  </si>
  <si>
    <t>4.95%</t>
  </si>
  <si>
    <t>2.90%</t>
  </si>
  <si>
    <t>4.55%</t>
  </si>
  <si>
    <t>2.30%</t>
  </si>
  <si>
    <t>1.70%</t>
  </si>
  <si>
    <t>Annualized volatility = sd x sqrt(52)</t>
  </si>
  <si>
    <t>35.7%</t>
  </si>
  <si>
    <t>20.9%</t>
  </si>
  <si>
    <t>32.8%</t>
  </si>
  <si>
    <t>16.6%</t>
  </si>
  <si>
    <t>12.3%</t>
  </si>
  <si>
    <t>Beta vs Nifty 50 / market (COMPUTED)</t>
  </si>
  <si>
    <t>1.13</t>
  </si>
  <si>
    <t>0.62</t>
  </si>
  <si>
    <t>1.46</t>
  </si>
  <si>
    <t>0.03</t>
  </si>
  <si>
    <t>1.00</t>
  </si>
  <si>
    <t>Beta vs Nifty Energy / sector (COMPUTED)</t>
  </si>
  <si>
    <t>0.54</t>
  </si>
  <si>
    <t>0.30</t>
  </si>
  <si>
    <t>n/a</t>
  </si>
  <si>
    <t>Return vs market (stock - Nifty 50)</t>
  </si>
  <si>
    <t>+87.7 pts</t>
  </si>
  <si>
    <t>-2.5 pts</t>
  </si>
  <si>
    <t>+10.3 pts</t>
  </si>
  <si>
    <t>+12.3 pts</t>
  </si>
  <si>
    <t>Return vs sector (stock - Nifty Energy)</t>
  </si>
  <si>
    <t>+75.4 pts</t>
  </si>
  <si>
    <t>-14.7 pts</t>
  </si>
  <si>
    <t>-1.9 pts</t>
  </si>
  <si>
    <t>Data note</t>
  </si>
  <si>
    <t>COMPLETE: all five series (3 stocks + Nifty 50 + Nifty Energy) parsed from the Yahoo Finance Historical Data pages saved in the repo (54 weekly adjusted-close points each, 14-Jul-2025 to 15-Jul-2026, split-adjusted). Weekly returns, standard deviations, annualized volatility, and betas computed from this data - see the Weekly_Price_Data sheet for the full series and the rebased performance chart below.</t>
  </si>
  <si>
    <t>Comments — which share is most volatile?</t>
  </si>
  <si>
    <t>ANSWER (computed from 54 weekly observations, split-adjusted): ADANI POWER is the most volatile of the three — weekly-return standard deviation 4.95% (annualized ~36%), vs Torrent Power 4.55% (~33%) and Tata Power 2.90% (~21%). The sector index (Nifty Energy) sat at 2.30% weekly (~17% annualized) — all three stocks were roughly 1.3-2.2x as volatile as their sector index. RETURNS: Adani Power massively outperformed (+84% vs the sector's +9%), Torrent Power roughly tracked the sector (+6.8%), and Tata Power underperformed (-6.0%). Note the LOW computed betas vs Nifty Energy (0.03-0.54): Nifty Energy is dominated by Reliance/ONGC (oil &amp; gas), so these power stocks move on company-specific news far more than on the 'sector' index — high volatility with low index correlation. Interpret beta accordingly. VS THE MARKET: Nifty 50 fell -3.6% over the window, so all three power stocks outperformed the broad market (Adani by ~88 points); market betas vs Nifty 50 are 1.13 (Adani), 0.62 (Tata) and 1.46 (Torrent).</t>
  </si>
  <si>
    <t>Week Ending</t>
  </si>
  <si>
    <t>Adani Power (adj ₹)</t>
  </si>
  <si>
    <t>Tata Power (₹)</t>
  </si>
  <si>
    <t>Torrent Power (₹)</t>
  </si>
  <si>
    <t>Nifty Energy</t>
  </si>
  <si>
    <t>Nifty 50</t>
  </si>
  <si>
    <t>Adani wk ret</t>
  </si>
  <si>
    <t>Tata wk ret</t>
  </si>
  <si>
    <t>Torrent wk ret</t>
  </si>
  <si>
    <t>NiftyEnergy wk ret</t>
  </si>
  <si>
    <t>Adani (base=100)</t>
  </si>
  <si>
    <t>Tata (base=100)</t>
  </si>
  <si>
    <t>Torrent (base=100)</t>
  </si>
  <si>
    <t>NiftyEnergy (base=100)</t>
  </si>
  <si>
    <t>2025-07-14</t>
  </si>
  <si>
    <t>2025-07-21</t>
  </si>
  <si>
    <t>2025-07-28</t>
  </si>
  <si>
    <t>2025-08-04</t>
  </si>
  <si>
    <t>2025-08-11</t>
  </si>
  <si>
    <t>2025-08-18</t>
  </si>
  <si>
    <t>2025-08-25</t>
  </si>
  <si>
    <t>2025-09-01</t>
  </si>
  <si>
    <t>2025-09-08</t>
  </si>
  <si>
    <t>2025-09-15</t>
  </si>
  <si>
    <t>2025-09-22</t>
  </si>
  <si>
    <t>2025-09-29</t>
  </si>
  <si>
    <t>2025-10-06</t>
  </si>
  <si>
    <t>2025-10-13</t>
  </si>
  <si>
    <t>2025-10-20</t>
  </si>
  <si>
    <t>2025-10-27</t>
  </si>
  <si>
    <t>2025-11-03</t>
  </si>
  <si>
    <t>2025-11-10</t>
  </si>
  <si>
    <t>2025-11-17</t>
  </si>
  <si>
    <t>2025-11-24</t>
  </si>
  <si>
    <t>2025-12-01</t>
  </si>
  <si>
    <t>2025-12-08</t>
  </si>
  <si>
    <t>2025-12-15</t>
  </si>
  <si>
    <t>2025-12-22</t>
  </si>
  <si>
    <t>2025-12-29</t>
  </si>
  <si>
    <t>2026-01-05</t>
  </si>
  <si>
    <t>2026-01-12</t>
  </si>
  <si>
    <t>2026-01-19</t>
  </si>
  <si>
    <t>2026-01-26</t>
  </si>
  <si>
    <t>2026-02-02</t>
  </si>
  <si>
    <t>2026-02-09</t>
  </si>
  <si>
    <t>2026-02-16</t>
  </si>
  <si>
    <t>2026-02-23</t>
  </si>
  <si>
    <t>2026-03-02</t>
  </si>
  <si>
    <t>2026-03-09</t>
  </si>
  <si>
    <t>2026-03-16</t>
  </si>
  <si>
    <t>2026-03-23</t>
  </si>
  <si>
    <t>2026-03-30</t>
  </si>
  <si>
    <t>2026-04-06</t>
  </si>
  <si>
    <t>2026-04-13</t>
  </si>
  <si>
    <t>2026-04-20</t>
  </si>
  <si>
    <t>2026-04-27</t>
  </si>
  <si>
    <t>2026-05-04</t>
  </si>
  <si>
    <t>2026-05-11</t>
  </si>
  <si>
    <t>2026-05-18</t>
  </si>
  <si>
    <t>2026-05-25</t>
  </si>
  <si>
    <t>2026-06-01</t>
  </si>
  <si>
    <t>2026-06-08</t>
  </si>
  <si>
    <t>2026-06-15</t>
  </si>
  <si>
    <t>2026-06-22</t>
  </si>
  <si>
    <t>2026-06-29</t>
  </si>
  <si>
    <t>2026-07-06</t>
  </si>
  <si>
    <t>2026-07-13</t>
  </si>
  <si>
    <t>2026-07-15</t>
  </si>
  <si>
    <t>12. Major Announcements — Adani Power (last ~12 months) &amp; Price Reaction</t>
  </si>
  <si>
    <t>Target company only, per assignment. Dates approximate (secondary-source aggregated) — cross-check exact filing dates on BSE corporate announcements page before final submission.</t>
  </si>
  <si>
    <t>Date (approx.)</t>
  </si>
  <si>
    <t>Announcement</t>
  </si>
  <si>
    <t>Reported Price Reaction</t>
  </si>
  <si>
    <t>Nearest known price (₹)</t>
  </si>
  <si>
    <t>07-Jul-2025</t>
  </si>
  <si>
    <t>Completed acquisition of Vidarbha Industries Power Ltd (600 MW) — total capacity to 18,150 MW</t>
  </si>
  <si>
    <t>Not quantified in sources found</t>
  </si>
  <si>
    <t>01-Aug-2025</t>
  </si>
  <si>
    <t>Q1 FY26 results: PAT ₹3,305 cr (down 15.5% YoY); 1:5 stock split announced</t>
  </si>
  <si>
    <t>Not quantified</t>
  </si>
  <si>
    <t>Sep-2025</t>
  </si>
  <si>
    <t>Adani Power–Druk Green (Bhutan) Shareholders Agreement — 570 MW Wangchhu hydro (~₹6,000 cr)</t>
  </si>
  <si>
    <t>22-Sep-2025</t>
  </si>
  <si>
    <t>1:5 stock split effective (face value ₹10→₹2)</t>
  </si>
  <si>
    <t>Mechanical price adjustment (~1/5th), not a market reaction</t>
  </si>
  <si>
    <t>30-Oct-2025</t>
  </si>
  <si>
    <t>Q2 FY26 results: PAT ~₹2,906-2,953 cr (down ~11-12% YoY); secured 4.5 GW new long-term PPAs</t>
  </si>
  <si>
    <t>14-Nov-2025</t>
  </si>
  <si>
    <t>Letter of Award — 3,200 MW Assam UMPP (~₹48,000 cr investment, DBFOO)</t>
  </si>
  <si>
    <t>'Share price surge reported' (source did not quantify %)</t>
  </si>
  <si>
    <t>Nov-2025</t>
  </si>
  <si>
    <t>24% stake in Jaiprakash Power Ventures via ₹14,535 cr resolution plan — creditors approved (89% votes)</t>
  </si>
  <si>
    <t>JP Power (the target) stock jumped ~29% in two days — Adani Power's own reaction not quantified in sources found</t>
  </si>
  <si>
    <t>05-Jan-2026</t>
  </si>
  <si>
    <t>News coverage: stock up ~40% over trailing 12 months</t>
  </si>
  <si>
    <t>+40% (12-mo, as reported that day)</t>
  </si>
  <si>
    <t>146.20</t>
  </si>
  <si>
    <t>11-Feb-2026</t>
  </si>
  <si>
    <t>Incorporation of Adani Atomic Energy Ltd — entry into nuclear power</t>
  </si>
  <si>
    <t>~Mar-2026</t>
  </si>
  <si>
    <t>NCLT approval of Jaiprakash Power Ventures resolution plan</t>
  </si>
  <si>
    <t>29-Apr-2026</t>
  </si>
  <si>
    <t>Q4/FY26 results: Q4 PAT ₹4,271 cr (+64% YoY); FY26 PAT ₹12,971 cr vs ₹12,750 cr FY25</t>
  </si>
  <si>
    <t>05-May-2026</t>
  </si>
  <si>
    <t>Stock hits 52-week high, intraday</t>
  </si>
  <si>
    <t>Record high reached</t>
  </si>
  <si>
    <t>234.35</t>
  </si>
  <si>
    <t>22-May-2026</t>
  </si>
  <si>
    <t>Profit-booking reported post ~100% 1-year return</t>
  </si>
  <si>
    <t>~6% off high; ~100% 1-yr return cited that day</t>
  </si>
  <si>
    <t>~220.00</t>
  </si>
  <si>
    <t>13-Jul-2026</t>
  </si>
  <si>
    <t>Filing on encumbrance/non-disposal undertaking re: Jaiprakash Power shares (in role as JPVL implementing entity)</t>
  </si>
  <si>
    <t>Note on this section</t>
  </si>
  <si>
    <t>Most individual-announcement price reactions (in %) were NOT disclosed in the secondary news sources found via search — only a few data points (the 40% 12-month move reported 5-Jan-2026, the 52-week high of ₹234.35 on 5-May-2026, and the ~100% 1-yr return cited 22-May-2026) could be tied to a specific date and price. For a proper event-study chart (price in a window around each announcement date), pull the daily closing price for the 5 days before/after each announcement from NSE historical data and compute the % reaction — the chart below plots the sparse real data points we do have as a starting frame; extend it once you have the daily series.</t>
  </si>
  <si>
    <t>Event that week</t>
  </si>
  <si>
    <t>Q1 FY26 results + 1:5 split announced</t>
  </si>
  <si>
    <t>1:5 stock split effective</t>
  </si>
  <si>
    <t>Q2 FY26 results; 4.5 GW new PPAs</t>
  </si>
  <si>
    <t>Assam 3,200 MW LoA (~₹48,000cr)</t>
  </si>
  <si>
    <t>JPVL resolution plan creditor approval</t>
  </si>
  <si>
    <t>Adani Atomic Energy incorporated</t>
  </si>
  <si>
    <t>NCLT approves JPVL plan</t>
  </si>
  <si>
    <t>Q4/FY26 results: PAT ₹12,971cr</t>
  </si>
  <si>
    <t>52-wk high ₹234 intraday</t>
  </si>
  <si>
    <t>Profit-booking after ~100% 1-yr run</t>
  </si>
  <si>
    <t>13. Sources &amp; Data Gaps — READ BEFORE SUBMITTING</t>
  </si>
  <si>
    <t>Methodology</t>
  </si>
  <si>
    <t>This workbook was built using automated web search (news wires, brokerage research notes, exchange press releases, and secondary financial-data aggregators such as Trendlyne, ScanX, HDFC Sky, Business Standard, BusinessToday, Equitymaster) inside a sandboxed research session. Direct scripted/API access to the PRIMARY sources you were asked to use — screener.in, moneycontrol.com, NSE India (nseindia.com), BSE India (bseindia.com), and the companies' own Annual Report PDFs (adanipower.com, tatapower.com, torrentpower.com) — was blocked (HTTP 403) for automated fetches in this environment. All numbers not otherwise flagged therefore come from search-engine snippets of secondary coverage of those primary sources, not the primary documents themselves. UPDATE: the user subsequently uploaded the actual Integrated Annual Report PDFs covering — Adani Power FY20-21, FY22-23, FY23-24 (financials section), FY24-25 and FY25-26; Tata Power FY21-22, FY22-23, FY23-24, FY24-25 and FY25-26; Torrent Power FY20-21 through FY25-26 (all six). Using each report's current + prior-year comparative columns, the consolidated Revenue/Total Income, PAT and Total Assets series in Sheet 2 are now PRIMARY-VERIFIED for FY20-FY26 (Adani, Torrent) and FY21-FY26 (Tata), and standalone employee counts were extracted where disclosed. Only FY19 (all metrics beyond secondary-sourced revenue/PAT) and the share-price rows remain unverified/yellow. Segment tables, AOC-1 subsidiary lists and the Investments notes are IN these PDFs but not yet extracted into Sheets 6-9.</t>
  </si>
  <si>
    <t>Priority list — verify these before submission</t>
  </si>
  <si>
    <t>1. Year-end (31-Mar) share prices, FY19-FY26, all three companies — still not found for any year; pull from NSE historical data or Yahoo Finance (split-adjust Adani Power for its Sep-2025 1:5 split).</t>
  </si>
  <si>
    <t>2. Total Assets — now VERIFIED FY20-FY26 (Adani, Torrent) and FY21-FY26 (Tata) from the Annual Reports. Only FY19 (all 3) and Tata FY20 remain open (needs the FY19-20 Annual Reports).</t>
  </si>
  <si>
    <t>3. Employee headcount — standalone-parent counts now VERIFIED where disclosed (Adani FY21/23/25/26; Tata FY22/23/25/26; Torrent FY21-FY26). Group-wide/consolidated headcount is still not disclosed anywhere and would be needed for a true cross-company Sales/Employee comparison.</t>
  </si>
  <si>
    <t>4. Segment-wise (Ind AS 108) tables — DONE: Sheet 6 now carries verified segment revenue/results/assets for Adani Power (FY20-FY26, 2 segments) and Tata Power (FY21-FY26, 4 segments), plus the verified finding that Torrent Power reports NO segments under Ind AS 108 (single integrated business).</t>
  </si>
  <si>
    <t>5. Weekly price series — DONE: 54-week adjusted-close series for all 3 stocks + Nifty 50 + Nifty Energy parsed from Yahoo HTML files in the repo; returns, volatility, and market &amp; sector betas computed in Sheet 11. Still open: year-end FY19-FY26 share prices for the Sheet 2 growth table (needs older price history).</t>
  </si>
  <si>
    <t>6. Shareholding pattern — Promoter %, promoter pledge (nil, all 3), and the single largest non-promoter &gt;5% holder are now VERIFIED as at 31-Mar-2026 from the Annual Reports for all three companies (Sheet 5). FII/DII category-level % breakdowns are still secondary-source/unverified — pull the full SHP table from each PDF or BSE/NSE XBRL filing if needed.</t>
  </si>
  <si>
    <t>7. Subsidiary lists — DONE: Sheets 7-8 now carry the verified FY26 AOC-1 data (Adani 19 entities incl. Mahan at 94% and Moxie consolidated at 49%; Tata ~113 entities incl. TPREL at 88.57%; Torrent ~60 entities). Only Torrent's associates (Part B) remain unextracted.</t>
  </si>
  <si>
    <t>8. Investments (ex subsidiaries/associates/JVs) as at 31-Mar-2023 — DONE: Sheet 9 now carries verified figures from all three FY23 Annual Reports (Adani ₹42.51cr non-current + ₹611.54cr MFs; Tata ₹1,301.21cr; Torrent ₹15.94cr bonds + ₹682.31cr current).</t>
  </si>
  <si>
    <t>9. Promoter pledge status — now VERIFIED as NIL for all three companies as at FY26 (Sheet 5), from the Annual Reports.</t>
  </si>
  <si>
    <t>10. Exact announcement dates + daily price reaction for Adani Power's major events (Sheet 12) — cross-check against BSE corporate announcements page.</t>
  </si>
  <si>
    <t>Key sources cited across this workbook (non-exhaustive)</t>
  </si>
  <si>
    <t>Business Standard (business-standard.com) — quarterly results coverage, all 3 companies</t>
  </si>
  <si>
    <t>BusinessToday (businesstoday.in) — results, stock-move coverage</t>
  </si>
  <si>
    <t>Equitymaster (equitymaster.com) — annual report analyses (Torrent Power, Tata Power)</t>
  </si>
  <si>
    <t>CRISIL Ratings (crisil.com) — rating rationales for all 3 companies</t>
  </si>
  <si>
    <t>Trendlyne, ScanX, HDFC Sky, Kotak Neo, ICICI Direct, Groww — shareholding, price, beta/volatility snapshots</t>
  </si>
  <si>
    <t>Mercom India, Saurenergy, PV Magazine India — renewable/PPA/project news</t>
  </si>
  <si>
    <t>NSE India, BSE India (nseindia.com, bseindia.com) — REFERENCED but not directly fetchable in this session; primary source for final verification</t>
  </si>
  <si>
    <t>screener.in, moneycontrol.com — REFERENCED but not directly fetchable in this session; primary source for financial-statement data</t>
  </si>
  <si>
    <t>TATA POWER - Consolidated Balance Sheet</t>
  </si>
  <si>
    <t>TATA POWER - Consolidated Statement of Profit and Loss for the year ended March 31, 2023</t>
  </si>
  <si>
    <t>ASSETS</t>
  </si>
  <si>
    <t>Revenue from Operations</t>
  </si>
  <si>
    <t>Non-Current Assets</t>
  </si>
  <si>
    <t>Other Income</t>
  </si>
  <si>
    <t>Property, Plant and Equipments</t>
  </si>
  <si>
    <t>Total Income</t>
  </si>
  <si>
    <t>Right of Use Assets</t>
  </si>
  <si>
    <t>Expenses</t>
  </si>
  <si>
    <t>Capital Work-in-Progress</t>
  </si>
  <si>
    <t>Cost of Power Purchased</t>
  </si>
  <si>
    <t>Goodwill</t>
  </si>
  <si>
    <t>Cost of Fuel</t>
  </si>
  <si>
    <t>Other Intangible Assets</t>
  </si>
  <si>
    <t>Transmission Charges</t>
  </si>
  <si>
    <t>Investments accounted for using the Equity Method</t>
  </si>
  <si>
    <t>Raw Material Consumed</t>
  </si>
  <si>
    <t>Financial Assets</t>
  </si>
  <si>
    <t>Purchase of Finished Goods and Spares</t>
  </si>
  <si>
    <t>Other Investments</t>
  </si>
  <si>
    <t>(Increase)/Decrease in Stock-in-Trade and Work in Progress</t>
  </si>
  <si>
    <t>Trade Receivables</t>
  </si>
  <si>
    <t>Employee Benefits Expense (Net)</t>
  </si>
  <si>
    <t>Loans</t>
  </si>
  <si>
    <t>Finance Costs</t>
  </si>
  <si>
    <t>Finance Lease Receivables</t>
  </si>
  <si>
    <t>Depreciation and Amortisation Expenses</t>
  </si>
  <si>
    <t>Other Financial Assets</t>
  </si>
  <si>
    <t>Other Expenses</t>
  </si>
  <si>
    <t>Non-current Tax Assets (Net)</t>
  </si>
  <si>
    <t>Total Expenses</t>
  </si>
  <si>
    <t>Deferred Tax Assets (Net)</t>
  </si>
  <si>
    <t>Profit/(Loss) Before Movement in RDF, Exceptional Items, Tax &amp; Share of Net Profit of Associates and JVs</t>
  </si>
  <si>
    <t>Other Non-current Assets</t>
  </si>
  <si>
    <t>Add/(Less): Net Movement in Regulatory Deferral Balance</t>
  </si>
  <si>
    <t>Total Non-current Assets</t>
  </si>
  <si>
    <t>Add/(Less): Net Movement in Regulatory Deferral Balances - earlier years</t>
  </si>
  <si>
    <t>Current Assets</t>
  </si>
  <si>
    <t>Add/(Less): Deferred Tax Recoverable/(Payable)</t>
  </si>
  <si>
    <t>Inventories</t>
  </si>
  <si>
    <t>Subtotal - Regulatory Deferral Movement</t>
  </si>
  <si>
    <t>Profit/(Loss) Before Exceptional Items, Tax and Share of Net Profit of Associates and JVs</t>
  </si>
  <si>
    <t>Investments</t>
  </si>
  <si>
    <t>Share of Net Profit of Associates and Joint Ventures (Equity Method)</t>
  </si>
  <si>
    <t>Profit/(Loss) Before Exceptional Items and Tax</t>
  </si>
  <si>
    <t>Unbilled Revenue</t>
  </si>
  <si>
    <t>Add/(Less): Exceptional Items - Provision for Impairment of Investment</t>
  </si>
  <si>
    <t>Cash and Cash Equivalents</t>
  </si>
  <si>
    <t>Profit/(Loss) Before Tax for the Year from Continuing Operations</t>
  </si>
  <si>
    <t>Bank Balances other than (iv) above</t>
  </si>
  <si>
    <t>Tax Expense/(Credit)</t>
  </si>
  <si>
    <t>Current Tax</t>
  </si>
  <si>
    <t>Current Tax in respect of earlier years</t>
  </si>
  <si>
    <t>Deferred Tax</t>
  </si>
  <si>
    <t>Current Tax Assets (Net)</t>
  </si>
  <si>
    <t>Deferred Tax relating to earlier years</t>
  </si>
  <si>
    <t>Other Current Assets</t>
  </si>
  <si>
    <t>Remeasurement of Deferred Tax on account of New Tax Regime (net)</t>
  </si>
  <si>
    <t>Total Current Assets</t>
  </si>
  <si>
    <t>Total Tax Expense/(Credit)</t>
  </si>
  <si>
    <t>Assets Classified as Held For Sale</t>
  </si>
  <si>
    <t>Profit/(Loss) for the Year from Continuing Operations</t>
  </si>
  <si>
    <t>Total Assets before Regulatory Deferral Account</t>
  </si>
  <si>
    <t>Profit/(Loss) before tax from Discontinued Operations</t>
  </si>
  <si>
    <t>Regulatory Deferral Account - Assets</t>
  </si>
  <si>
    <t>Impairment Loss on remeasurement at Fair Value</t>
  </si>
  <si>
    <t>TOTAL ASSETS</t>
  </si>
  <si>
    <t>Tax Expense/(Credit) of Discontinued Operations</t>
  </si>
  <si>
    <t>Profit/(Loss) for the Year from Discontinued Operations</t>
  </si>
  <si>
    <t>EQUITY AND LIABILITIES</t>
  </si>
  <si>
    <t>Profit/(Loss) for the Year</t>
  </si>
  <si>
    <t>Equity</t>
  </si>
  <si>
    <t>Equity Share Capital</t>
  </si>
  <si>
    <t>Other Equity</t>
  </si>
  <si>
    <t>Equity attributable to Shareholders of the Company</t>
  </si>
  <si>
    <t>Non-controlling Interests</t>
  </si>
  <si>
    <t>Total Equity</t>
  </si>
  <si>
    <t>Liabilities</t>
  </si>
  <si>
    <t>Non-Current Liabilities</t>
  </si>
  <si>
    <t>Financial Liabilities</t>
  </si>
  <si>
    <t>Borrowings</t>
  </si>
  <si>
    <t>Lease Liabilities</t>
  </si>
  <si>
    <t>Other Financial Liabilities</t>
  </si>
  <si>
    <t>Non-current Tax Liabilities (Net)</t>
  </si>
  <si>
    <t>Deferred Tax Liabilities (Net)</t>
  </si>
  <si>
    <t>Provisions</t>
  </si>
  <si>
    <t>Other Non-current Liabilities</t>
  </si>
  <si>
    <t>Total Non-Current Liabilities</t>
  </si>
  <si>
    <t>Current Liabilities</t>
  </si>
  <si>
    <t>Trade Payables</t>
  </si>
  <si>
    <t>Current Tax Liabilities (Net)</t>
  </si>
  <si>
    <t>Other Current Liabilities</t>
  </si>
  <si>
    <t>Total Current Liabilities</t>
  </si>
  <si>
    <t>Liabilities directly associated with Assets Classified as Held For Sale</t>
  </si>
  <si>
    <t>Total Liabilities before Regulatory Deferral Account</t>
  </si>
  <si>
    <t>Regulatory Deferral Account - Liability</t>
  </si>
  <si>
    <t>TOTAL EQUITY AND LIABILITIES</t>
  </si>
  <si>
    <t>As at Mar 2026</t>
  </si>
  <si>
    <t>As at Mar 2025</t>
  </si>
  <si>
    <t>As at Mar 2024</t>
  </si>
  <si>
    <t>As at Mar 2023</t>
  </si>
  <si>
    <t>As at Mar 2022</t>
  </si>
  <si>
    <t>Property, Plant and Equipment</t>
  </si>
  <si>
    <t>Other Non-Current Assets</t>
  </si>
  <si>
    <t>Total Non-Current Assets</t>
  </si>
  <si>
    <t>Total Assets</t>
  </si>
  <si>
    <t>EQUITY &amp; LIABILITIES</t>
  </si>
  <si>
    <t>Net Worth (Attributable to Owners)</t>
  </si>
  <si>
    <t>Non-Controlling Interests</t>
  </si>
  <si>
    <t>Borrowings (Long-term)</t>
  </si>
  <si>
    <t>Other Non-Current Liabilities</t>
  </si>
  <si>
    <t>Total Equity and Liabilities</t>
  </si>
  <si>
    <t>FY 2025-26</t>
  </si>
  <si>
    <t>FY 2024-25</t>
  </si>
  <si>
    <t>FY 2023-24</t>
  </si>
  <si>
    <t>FY 2022-23</t>
  </si>
  <si>
    <t>INCOME</t>
  </si>
  <si>
    <t>EXPENSES</t>
  </si>
  <si>
    <t>Electrical Energy Purchased</t>
  </si>
  <si>
    <t>Fuel Cost</t>
  </si>
  <si>
    <t>Cost of Materials Consumed</t>
  </si>
  <si>
    <t>-</t>
  </si>
  <si>
    <t>Employee Benefits Expense</t>
  </si>
  <si>
    <t>Depreciation &amp; Amortisation</t>
  </si>
  <si>
    <t>Profit Before Tax</t>
  </si>
  <si>
    <t>Tax Expense (Current &amp; Deferred)</t>
  </si>
  <si>
    <t>Profit for the Year</t>
  </si>
  <si>
    <t>Total Comprehensive Income</t>
  </si>
  <si>
    <t>Note</t>
  </si>
  <si>
    <t>As at 31-Mar-2023</t>
  </si>
  <si>
    <t>As at 31-Mar-2022 (Restated)</t>
  </si>
  <si>
    <t>Non-current Assets</t>
  </si>
  <si>
    <t>Capital Work-In-Progress</t>
  </si>
  <si>
    <t>Investments (Non-current)</t>
  </si>
  <si>
    <t>Loans (Non-current)</t>
  </si>
  <si>
    <t>Other Financial Assets (Non-current)</t>
  </si>
  <si>
    <t>Investments (Current)</t>
  </si>
  <si>
    <t>Bank balances other than above</t>
  </si>
  <si>
    <t>Loans (Current)</t>
  </si>
  <si>
    <t>Other Financial Assets (Current)</t>
  </si>
  <si>
    <t>Unsecured Perpetual Securities</t>
  </si>
  <si>
    <t>Non-current Liabilities</t>
  </si>
  <si>
    <t>Borrowings (Non-current)</t>
  </si>
  <si>
    <t>Lease Liabilities (Non-current)</t>
  </si>
  <si>
    <t>Other Financial Liabilities (Non-current)</t>
  </si>
  <si>
    <t>Provisions (Non-current)</t>
  </si>
  <si>
    <t>Total Non-current Liabilities</t>
  </si>
  <si>
    <t>Borrowings (Current)</t>
  </si>
  <si>
    <t>Lease Liabilities (Current)</t>
  </si>
  <si>
    <t>Trade Payables - dues of micro &amp; small enterprises</t>
  </si>
  <si>
    <t>Trade Payables - dues of other creditors</t>
  </si>
  <si>
    <t>Other Financial Liabilities (Current)</t>
  </si>
  <si>
    <t>Provisions (Current)</t>
  </si>
  <si>
    <t>Total Liabilities</t>
  </si>
  <si>
    <t>Year ended 31-Mar-2023</t>
  </si>
  <si>
    <t>Year ended 31-Mar-2022 (Restated)</t>
  </si>
  <si>
    <t>Income</t>
  </si>
  <si>
    <t>Purchase of Stock-in-trade / Power for resale</t>
  </si>
  <si>
    <t>Depreciation and Amortisation Expense</t>
  </si>
  <si>
    <t>4.1 &amp; 4.3</t>
  </si>
  <si>
    <t>Profit before tax and Deferred tax (adjustable) / recoverable from future tariff</t>
  </si>
  <si>
    <t>Tax (Credit) / Expenses</t>
  </si>
  <si>
    <t>Tax (credit) adjusted relating to earlier years</t>
  </si>
  <si>
    <t>39,65</t>
  </si>
  <si>
    <t>Deferred Tax (credit) / charge (incl. ₹2,303.87 Cr adj. relating to earlier periods)</t>
  </si>
  <si>
    <t>Total Tax (Credit) / Expenses</t>
  </si>
  <si>
    <t>Add: Deferred tax (adjustable) / recoverable future tariff (net of tax)</t>
  </si>
  <si>
    <t>Profit for the year</t>
  </si>
  <si>
    <t>Other Comprehensive Income</t>
  </si>
  <si>
    <t>Items that will not be reclassified to profit or loss in subsequent periods:</t>
  </si>
  <si>
    <t>Remeasurement (loss) on defined benefit plan</t>
  </si>
  <si>
    <t>Income tax impact</t>
  </si>
  <si>
    <t>Net Gain on sale of Investment classified at FVTOCI</t>
  </si>
  <si>
    <t>Other Comprehensive (Loss) / Income, net of tax</t>
  </si>
  <si>
    <t>Total Comprehensive Income for the year, net of tax</t>
  </si>
  <si>
    <t>Earnings Per Equity Share (EPS) - Basic and Diluted (₹) (Face Value ₹10 per share)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</si>
</sst>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mm d, yyyy"/>
  </numFmts>
  <fonts count="34">
    <font>
      <sz val="11.0"/>
      <color theme="1"/>
      <name val="Calibri"/>
      <scheme val="minor"/>
    </font>
    <font>
      <b/>
      <sz val="20.0"/>
      <color rgb="FF1F4E78"/>
      <name val="Calibri"/>
    </font>
    <font>
      <b/>
      <sz val="11.0"/>
      <color theme="1"/>
      <name val="Calibri"/>
    </font>
    <font>
      <color theme="1"/>
      <name val="Calibri"/>
      <scheme val="minor"/>
    </font>
    <font>
      <sz val="11.0"/>
      <color theme="1"/>
      <name val="Calibri"/>
    </font>
    <font>
      <b/>
      <sz val="13.0"/>
      <color rgb="FF1F4E78"/>
      <name val="Calibri"/>
    </font>
    <font>
      <b/>
      <sz val="12.0"/>
      <color rgb="FFC00000"/>
      <name val="Calibri"/>
    </font>
    <font>
      <i/>
      <sz val="11.0"/>
      <color theme="1"/>
      <name val="Calibri"/>
    </font>
    <font>
      <b/>
      <sz val="16.0"/>
      <color rgb="FF1F4E78"/>
      <name val="Calibri"/>
    </font>
    <font>
      <i/>
      <sz val="10.0"/>
      <color rgb="FF808080"/>
      <name val="Calibri"/>
    </font>
    <font>
      <b/>
      <sz val="11.0"/>
      <color rgb="FFFFFFFF"/>
      <name val="Calibri"/>
    </font>
    <font>
      <i/>
      <sz val="9.0"/>
      <color rgb="FF808080"/>
      <name val="Calibri"/>
    </font>
    <font>
      <b/>
      <i/>
      <sz val="11.0"/>
      <color theme="1"/>
      <name val="Calibri"/>
    </font>
    <font>
      <b/>
      <sz val="12.0"/>
      <color rgb="FF1F4E78"/>
      <name val="Calibri"/>
    </font>
    <font>
      <b/>
      <sz val="11.0"/>
      <color rgb="FF008000"/>
      <name val="Calibri"/>
    </font>
    <font>
      <b/>
      <sz val="11.0"/>
      <color rgb="FFC00000"/>
      <name val="Calibri"/>
    </font>
    <font>
      <b/>
      <sz val="14.0"/>
      <color theme="1"/>
      <name val="Arial"/>
    </font>
    <font>
      <b/>
      <sz val="11.0"/>
      <color theme="1"/>
      <name val="&quot;Segoe UI&quot;"/>
    </font>
    <font>
      <b/>
      <color theme="1"/>
      <name val="Arial"/>
    </font>
    <font>
      <b/>
      <color theme="1"/>
      <name val="Calibri"/>
      <scheme val="minor"/>
    </font>
    <font>
      <b/>
      <sz val="11.0"/>
      <color rgb="FF000000"/>
      <name val="Calibri"/>
    </font>
    <font>
      <b/>
      <sz val="11.0"/>
      <color theme="1"/>
      <name val="Arial"/>
    </font>
    <font>
      <sz val="11.0"/>
      <color rgb="FF000000"/>
      <name val="Calibri"/>
    </font>
    <font>
      <sz val="11.0"/>
      <color theme="1"/>
      <name val="&quot;Segoe UI&quot;"/>
    </font>
    <font>
      <i/>
      <sz val="11.0"/>
      <color theme="1"/>
      <name val="&quot;Segoe UI&quot;"/>
    </font>
    <font>
      <sz val="11.0"/>
      <color theme="1"/>
      <name val="Arial"/>
    </font>
    <font>
      <sz val="11.0"/>
      <color rgb="FF000000"/>
      <name val="&quot;Segoe UI&quot;"/>
    </font>
    <font>
      <i/>
      <sz val="9.0"/>
      <color rgb="FF808080"/>
      <name val="&quot;Segoe UI&quot;"/>
    </font>
    <font>
      <b/>
      <sz val="11.0"/>
      <color rgb="FF303030"/>
      <name val="&quot;Google Sans Text&quot;"/>
    </font>
    <font>
      <sz val="11.0"/>
      <color rgb="FF303030"/>
      <name val="&quot;Google Sans Text&quot;"/>
    </font>
    <font>
      <b/>
      <color rgb="FFFFFFFF"/>
      <name val="Arial"/>
    </font>
    <font>
      <b/>
      <sz val="11.0"/>
      <color rgb="FF1F4E78"/>
      <name val="Arial"/>
    </font>
    <font>
      <color theme="1"/>
      <name val="Arial"/>
    </font>
    <font/>
  </fonts>
  <fills count="11">
    <fill>
      <patternFill patternType="none"/>
    </fill>
    <fill>
      <patternFill patternType="lightGray"/>
    </fill>
    <fill>
      <patternFill patternType="solid">
        <fgColor rgb="FFFFF2CC"/>
        <bgColor rgb="FFFFF2CC"/>
      </patternFill>
    </fill>
    <fill>
      <patternFill patternType="solid">
        <fgColor rgb="FF1F4E78"/>
        <bgColor rgb="FF1F4E78"/>
      </patternFill>
    </fill>
    <fill>
      <patternFill patternType="solid">
        <fgColor rgb="FFCFE2F3"/>
        <bgColor rgb="FFCFE2F3"/>
      </patternFill>
    </fill>
    <fill>
      <patternFill patternType="solid">
        <fgColor rgb="FFD9E1F2"/>
        <bgColor rgb="FFD9E1F2"/>
      </patternFill>
    </fill>
    <fill>
      <patternFill patternType="solid">
        <fgColor rgb="FFF2F2F2"/>
        <bgColor rgb="FFF2F2F2"/>
      </patternFill>
    </fill>
    <fill>
      <patternFill patternType="solid">
        <fgColor rgb="FFC6E0B4"/>
        <bgColor rgb="FFC6E0B4"/>
      </patternFill>
    </fill>
    <fill>
      <patternFill patternType="solid">
        <fgColor rgb="FFFFFFFF"/>
        <bgColor rgb="FFFFFFFF"/>
      </patternFill>
    </fill>
    <fill>
      <patternFill patternType="solid">
        <fgColor rgb="FF2E75B6"/>
        <bgColor rgb="FF2E75B6"/>
      </patternFill>
    </fill>
    <fill>
      <patternFill patternType="solid">
        <fgColor rgb="FFD9E2F3"/>
        <bgColor rgb="FFD9E2F3"/>
      </patternFill>
    </fill>
  </fills>
  <borders count="9">
    <border/>
    <border>
      <left/>
      <right/>
      <top/>
      <bottom/>
    </border>
    <border>
      <left style="thin">
        <color rgb="FFBFBFBF"/>
      </left>
      <right style="thin">
        <color rgb="FFBFBFBF"/>
      </right>
      <top style="thin">
        <color rgb="FFBFBFBF"/>
      </top>
      <bottom style="thin">
        <color rgb="FFBFBFBF"/>
      </bottom>
    </border>
    <border>
      <bottom style="thin">
        <color rgb="FF999999"/>
      </bottom>
    </border>
    <border>
      <top style="thin">
        <color rgb="FF999999"/>
      </top>
    </border>
    <border>
      <top style="thin">
        <color rgb="FF999999"/>
      </top>
      <bottom style="thin">
        <color rgb="FF999999"/>
      </bottom>
    </border>
    <border>
      <bottom style="thin">
        <color rgb="FF919191"/>
      </bottom>
    </border>
    <border>
      <bottom style="thin">
        <color rgb="FFDDE1EB"/>
      </bottom>
    </border>
    <border>
      <top style="thin">
        <color rgb="FF000000"/>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3" numFmtId="0" xfId="0" applyAlignment="1" applyFont="1">
      <alignment readingOrder="0"/>
    </xf>
    <xf borderId="0" fillId="0" fontId="6" numFmtId="0" xfId="0" applyFont="1"/>
    <xf borderId="0" fillId="0" fontId="7" numFmtId="0" xfId="0" applyAlignment="1" applyFont="1">
      <alignment shrinkToFit="0" vertical="top" wrapText="1"/>
    </xf>
    <xf borderId="0" fillId="0" fontId="8" numFmtId="0" xfId="0" applyFont="1"/>
    <xf borderId="0" fillId="0" fontId="9" numFmtId="0" xfId="0" applyFont="1"/>
    <xf borderId="2" fillId="3" fontId="10" numFmtId="0" xfId="0" applyAlignment="1" applyBorder="1" applyFill="1" applyFont="1">
      <alignment horizontal="center" shrinkToFit="0" vertical="center" wrapText="1"/>
    </xf>
    <xf borderId="2" fillId="0" fontId="2" numFmtId="0" xfId="0" applyBorder="1" applyFont="1"/>
    <xf borderId="2" fillId="0" fontId="4" numFmtId="0" xfId="0" applyAlignment="1" applyBorder="1" applyFont="1">
      <alignment shrinkToFit="0" vertical="top" wrapText="1"/>
    </xf>
    <xf borderId="0" fillId="0" fontId="4" numFmtId="164" xfId="0" applyFont="1" applyNumberFormat="1"/>
    <xf borderId="0" fillId="0" fontId="11" numFmtId="0" xfId="0" applyFont="1"/>
    <xf borderId="0" fillId="0" fontId="12" numFmtId="0" xfId="0" applyFont="1"/>
    <xf borderId="0" fillId="0" fontId="13" numFmtId="0" xfId="0" applyFont="1"/>
    <xf borderId="0" fillId="0" fontId="4" numFmtId="0" xfId="0" applyAlignment="1" applyFont="1">
      <alignment shrinkToFit="0" vertical="top" wrapText="1"/>
    </xf>
    <xf borderId="0" fillId="0" fontId="4" numFmtId="2" xfId="0" applyFont="1" applyNumberFormat="1"/>
    <xf borderId="2" fillId="2" fontId="4" numFmtId="0" xfId="0" applyAlignment="1" applyBorder="1" applyFont="1">
      <alignment shrinkToFit="0" vertical="top" wrapText="1"/>
    </xf>
    <xf borderId="2" fillId="0" fontId="4" numFmtId="0" xfId="0" applyBorder="1" applyFont="1"/>
    <xf borderId="0" fillId="0" fontId="7" numFmtId="0" xfId="0" applyFont="1"/>
    <xf borderId="0" fillId="0" fontId="14" numFmtId="0" xfId="0" applyFont="1"/>
    <xf borderId="0" fillId="0" fontId="15" numFmtId="0" xfId="0" applyFont="1"/>
    <xf borderId="0" fillId="0" fontId="16" numFmtId="0" xfId="0" applyAlignment="1" applyFont="1">
      <alignment readingOrder="0" shrinkToFit="0" vertical="bottom" wrapText="0"/>
    </xf>
    <xf borderId="3" fillId="4" fontId="17" numFmtId="0" xfId="0" applyAlignment="1" applyBorder="1" applyFill="1" applyFont="1">
      <alignment horizontal="left" readingOrder="0" vertical="bottom"/>
    </xf>
    <xf borderId="0" fillId="4" fontId="18" numFmtId="165" xfId="0" applyAlignment="1" applyFont="1" applyNumberFormat="1">
      <alignment readingOrder="0"/>
    </xf>
    <xf borderId="0" fillId="4" fontId="19" numFmtId="165" xfId="0" applyAlignment="1" applyFont="1" applyNumberFormat="1">
      <alignment readingOrder="0"/>
    </xf>
    <xf borderId="0" fillId="4" fontId="20" numFmtId="165" xfId="0" applyAlignment="1" applyFont="1" applyNumberFormat="1">
      <alignment readingOrder="0" shrinkToFit="0" vertical="bottom" wrapText="0"/>
    </xf>
    <xf borderId="3" fillId="4" fontId="21" numFmtId="165" xfId="0" applyAlignment="1" applyBorder="1" applyFont="1" applyNumberFormat="1">
      <alignment horizontal="center" readingOrder="0" vertical="bottom"/>
    </xf>
    <xf borderId="3" fillId="5" fontId="17" numFmtId="0" xfId="0" applyAlignment="1" applyBorder="1" applyFill="1" applyFont="1">
      <alignment horizontal="left" readingOrder="0" vertical="bottom"/>
    </xf>
    <xf borderId="0" fillId="0" fontId="22" numFmtId="0" xfId="0" applyAlignment="1" applyFont="1">
      <alignment shrinkToFit="0" vertical="bottom" wrapText="0"/>
    </xf>
    <xf borderId="3" fillId="5" fontId="21" numFmtId="165" xfId="0" applyAlignment="1" applyBorder="1" applyFont="1" applyNumberFormat="1">
      <alignment horizontal="center" readingOrder="0" vertical="bottom"/>
    </xf>
    <xf borderId="0" fillId="6" fontId="17" numFmtId="0" xfId="0" applyAlignment="1" applyFill="1" applyFont="1">
      <alignment readingOrder="0" shrinkToFit="0" vertical="bottom" wrapText="0"/>
    </xf>
    <xf borderId="0" fillId="6" fontId="3" numFmtId="0" xfId="0" applyFont="1"/>
    <xf borderId="0" fillId="6" fontId="22" numFmtId="0" xfId="0" applyAlignment="1" applyFont="1">
      <alignment shrinkToFit="0" vertical="bottom" wrapText="0"/>
    </xf>
    <xf borderId="0" fillId="0" fontId="23" numFmtId="0" xfId="0" applyAlignment="1" applyFont="1">
      <alignment horizontal="left" readingOrder="0" shrinkToFit="0" vertical="bottom" wrapText="0"/>
    </xf>
    <xf borderId="0" fillId="0" fontId="4" numFmtId="4" xfId="0" applyAlignment="1" applyFont="1" applyNumberFormat="1">
      <alignment horizontal="right" readingOrder="0" shrinkToFit="0" vertical="bottom" wrapText="0"/>
    </xf>
    <xf borderId="0" fillId="0" fontId="4" numFmtId="0" xfId="0" applyAlignment="1" applyFont="1">
      <alignment horizontal="right" readingOrder="0" shrinkToFit="0" vertical="bottom" wrapText="0"/>
    </xf>
    <xf borderId="0" fillId="0" fontId="3" numFmtId="4" xfId="0" applyAlignment="1" applyFont="1" applyNumberFormat="1">
      <alignment readingOrder="0"/>
    </xf>
    <xf borderId="4" fillId="0" fontId="17" numFmtId="0" xfId="0" applyAlignment="1" applyBorder="1" applyFont="1">
      <alignment readingOrder="0" shrinkToFit="0" vertical="bottom" wrapText="0"/>
    </xf>
    <xf borderId="4" fillId="0" fontId="2" numFmtId="4" xfId="0" applyAlignment="1" applyBorder="1" applyFont="1" applyNumberFormat="1">
      <alignment horizontal="right" readingOrder="0" shrinkToFit="0" vertical="bottom" wrapText="0"/>
    </xf>
    <xf borderId="0" fillId="0" fontId="24" numFmtId="0" xfId="0" applyAlignment="1" applyFont="1">
      <alignment horizontal="left" readingOrder="0" shrinkToFit="0" vertical="bottom" wrapText="0"/>
    </xf>
    <xf borderId="0" fillId="0" fontId="25" numFmtId="0" xfId="0" applyAlignment="1" applyFont="1">
      <alignment horizontal="left" readingOrder="0" shrinkToFit="0" vertical="bottom" wrapText="0"/>
    </xf>
    <xf borderId="0" fillId="0" fontId="2" numFmtId="4" xfId="0" applyAlignment="1" applyFont="1" applyNumberFormat="1">
      <alignment horizontal="right" readingOrder="0" shrinkToFit="0" vertical="bottom" wrapText="0"/>
    </xf>
    <xf borderId="0" fillId="0" fontId="3" numFmtId="4" xfId="0" applyFont="1" applyNumberFormat="1"/>
    <xf borderId="4" fillId="0" fontId="2" numFmtId="0" xfId="0" applyAlignment="1" applyBorder="1" applyFont="1">
      <alignment horizontal="right" readingOrder="0" shrinkToFit="0" vertical="bottom" wrapText="0"/>
    </xf>
    <xf borderId="0" fillId="0" fontId="3" numFmtId="4" xfId="0" applyAlignment="1" applyFont="1" applyNumberFormat="1">
      <alignment horizontal="right" readingOrder="0"/>
    </xf>
    <xf borderId="5" fillId="7" fontId="17" numFmtId="0" xfId="0" applyAlignment="1" applyBorder="1" applyFill="1" applyFont="1">
      <alignment readingOrder="0" shrinkToFit="0" vertical="bottom" wrapText="0"/>
    </xf>
    <xf borderId="5" fillId="7" fontId="2" numFmtId="4" xfId="0" applyAlignment="1" applyBorder="1" applyFont="1" applyNumberFormat="1">
      <alignment horizontal="right" readingOrder="0" shrinkToFit="0" vertical="bottom" wrapText="0"/>
    </xf>
    <xf borderId="0" fillId="0" fontId="25" numFmtId="0" xfId="0" applyAlignment="1" applyFont="1">
      <alignment horizontal="right" readingOrder="0" shrinkToFit="0" wrapText="0"/>
    </xf>
    <xf borderId="0" fillId="0" fontId="25" numFmtId="0" xfId="0" applyAlignment="1" applyFont="1">
      <alignment horizontal="left" readingOrder="0" shrinkToFit="0" wrapText="0"/>
    </xf>
    <xf borderId="0" fillId="0" fontId="25" numFmtId="0" xfId="0" applyAlignment="1" applyFont="1">
      <alignment horizontal="right" readingOrder="0" shrinkToFit="0" vertical="bottom" wrapText="0"/>
    </xf>
    <xf borderId="0" fillId="0" fontId="25" numFmtId="4" xfId="0" applyAlignment="1" applyFont="1" applyNumberFormat="1">
      <alignment horizontal="right" readingOrder="0" shrinkToFit="0" wrapText="0"/>
    </xf>
    <xf borderId="0" fillId="0" fontId="25" numFmtId="4" xfId="0" applyAlignment="1" applyFont="1" applyNumberFormat="1">
      <alignment horizontal="right" readingOrder="0" shrinkToFit="0" vertical="bottom" wrapText="0"/>
    </xf>
    <xf borderId="4" fillId="0" fontId="22" numFmtId="0" xfId="0" applyAlignment="1" applyBorder="1" applyFont="1">
      <alignment horizontal="right" readingOrder="0" shrinkToFit="0" wrapText="0"/>
    </xf>
    <xf borderId="4" fillId="0" fontId="22" numFmtId="0" xfId="0" applyAlignment="1" applyBorder="1" applyFont="1">
      <alignment horizontal="left" shrinkToFit="0" wrapText="0"/>
    </xf>
    <xf borderId="4" fillId="0" fontId="21" numFmtId="4" xfId="0" applyAlignment="1" applyBorder="1" applyFont="1" applyNumberFormat="1">
      <alignment horizontal="right" readingOrder="0" shrinkToFit="0" vertical="bottom" wrapText="0"/>
    </xf>
    <xf borderId="4" fillId="0" fontId="22" numFmtId="4" xfId="0" applyAlignment="1" applyBorder="1" applyFont="1" applyNumberFormat="1">
      <alignment horizontal="right" shrinkToFit="0" wrapText="0"/>
    </xf>
    <xf borderId="0" fillId="6" fontId="22" numFmtId="0" xfId="0" applyAlignment="1" applyFont="1">
      <alignment horizontal="left" shrinkToFit="0" wrapText="0"/>
    </xf>
    <xf borderId="0" fillId="0" fontId="22" numFmtId="0" xfId="0" applyAlignment="1" applyFont="1">
      <alignment horizontal="left" shrinkToFit="0" wrapText="0"/>
    </xf>
    <xf borderId="4" fillId="0" fontId="20" numFmtId="4" xfId="0" applyAlignment="1" applyBorder="1" applyFont="1" applyNumberFormat="1">
      <alignment horizontal="right" shrinkToFit="0" wrapText="0"/>
    </xf>
    <xf borderId="5" fillId="7" fontId="22" numFmtId="0" xfId="0" applyAlignment="1" applyBorder="1" applyFont="1">
      <alignment horizontal="left" shrinkToFit="0" wrapText="0"/>
    </xf>
    <xf borderId="5" fillId="7" fontId="21" numFmtId="4" xfId="0" applyAlignment="1" applyBorder="1" applyFont="1" applyNumberFormat="1">
      <alignment horizontal="right" readingOrder="0" shrinkToFit="0" vertical="bottom" wrapText="0"/>
    </xf>
    <xf borderId="0" fillId="0" fontId="26" numFmtId="0" xfId="0" applyAlignment="1" applyFont="1">
      <alignment shrinkToFit="0" vertical="bottom" wrapText="0"/>
    </xf>
    <xf borderId="0" fillId="0" fontId="27" numFmtId="0" xfId="0" applyAlignment="1" applyFont="1">
      <alignment readingOrder="0" shrinkToFit="0" vertical="bottom" wrapText="0"/>
    </xf>
    <xf borderId="6" fillId="8" fontId="28" numFmtId="0" xfId="0" applyAlignment="1" applyBorder="1" applyFill="1" applyFont="1">
      <alignment readingOrder="0" vertical="top"/>
    </xf>
    <xf borderId="7" fillId="8" fontId="28" numFmtId="0" xfId="0" applyAlignment="1" applyBorder="1" applyFont="1">
      <alignment readingOrder="0" vertical="top"/>
    </xf>
    <xf borderId="7" fillId="8" fontId="29" numFmtId="0" xfId="0" applyAlignment="1" applyBorder="1" applyFont="1">
      <alignment vertical="top"/>
    </xf>
    <xf borderId="7" fillId="8" fontId="29" numFmtId="0" xfId="0" applyAlignment="1" applyBorder="1" applyFont="1">
      <alignment readingOrder="0" vertical="top"/>
    </xf>
    <xf borderId="7" fillId="8" fontId="29" numFmtId="4" xfId="0" applyAlignment="1" applyBorder="1" applyFont="1" applyNumberFormat="1">
      <alignment readingOrder="0" vertical="top"/>
    </xf>
    <xf borderId="7" fillId="8" fontId="28" numFmtId="4" xfId="0" applyAlignment="1" applyBorder="1" applyFont="1" applyNumberFormat="1">
      <alignment readingOrder="0" vertical="top"/>
    </xf>
    <xf borderId="2" fillId="9" fontId="30" numFmtId="0" xfId="0" applyAlignment="1" applyBorder="1" applyFill="1" applyFont="1">
      <alignment horizontal="center" readingOrder="0"/>
    </xf>
    <xf borderId="0" fillId="10" fontId="31" numFmtId="0" xfId="0" applyAlignment="1" applyFill="1" applyFont="1">
      <alignment readingOrder="0" shrinkToFit="0" vertical="bottom" wrapText="0"/>
    </xf>
    <xf borderId="0" fillId="0" fontId="32" numFmtId="0" xfId="0" applyAlignment="1" applyFont="1">
      <alignment readingOrder="0" shrinkToFit="0" vertical="bottom" wrapText="0"/>
    </xf>
    <xf borderId="0" fillId="0" fontId="32" numFmtId="0" xfId="0" applyAlignment="1" applyFont="1">
      <alignment horizontal="center" readingOrder="0" shrinkToFit="0" vertical="bottom" wrapText="0"/>
    </xf>
    <xf borderId="0" fillId="0" fontId="32" numFmtId="4" xfId="0" applyAlignment="1" applyFont="1" applyNumberFormat="1">
      <alignment horizontal="right" readingOrder="0" shrinkToFit="0" vertical="bottom" wrapText="0"/>
    </xf>
    <xf borderId="0" fillId="0" fontId="32" numFmtId="0" xfId="0" applyAlignment="1" applyFont="1">
      <alignment horizontal="right" readingOrder="0" shrinkToFit="0" vertical="bottom" wrapText="0"/>
    </xf>
    <xf borderId="8" fillId="2" fontId="18" numFmtId="0" xfId="0" applyAlignment="1" applyBorder="1" applyFont="1">
      <alignment readingOrder="0" shrinkToFit="0" vertical="bottom" wrapText="0"/>
    </xf>
    <xf borderId="8" fillId="2" fontId="18" numFmtId="0" xfId="0" applyAlignment="1" applyBorder="1" applyFont="1">
      <alignment horizontal="center" shrinkToFit="0" vertical="bottom" wrapText="0"/>
    </xf>
    <xf borderId="8" fillId="2" fontId="18" numFmtId="4" xfId="0" applyAlignment="1" applyBorder="1" applyFont="1" applyNumberFormat="1">
      <alignment horizontal="right" readingOrder="0" shrinkToFit="0" vertical="bottom" wrapText="0"/>
    </xf>
    <xf borderId="8" fillId="7" fontId="18" numFmtId="0" xfId="0" applyAlignment="1" applyBorder="1" applyFont="1">
      <alignment readingOrder="0" shrinkToFit="0" vertical="bottom" wrapText="0"/>
    </xf>
    <xf borderId="8" fillId="7" fontId="18" numFmtId="0" xfId="0" applyAlignment="1" applyBorder="1" applyFont="1">
      <alignment horizontal="center" shrinkToFit="0" vertical="bottom" wrapText="0"/>
    </xf>
    <xf borderId="8" fillId="7" fontId="18" numFmtId="4" xfId="0" applyAlignment="1" applyBorder="1" applyFont="1" applyNumberFormat="1">
      <alignment horizontal="right" readingOrder="0" shrinkToFit="0" vertical="bottom" wrapText="0"/>
    </xf>
    <xf borderId="0" fillId="0" fontId="32" numFmtId="0" xfId="0" applyAlignment="1" applyFont="1">
      <alignment horizontal="center" shrinkToFit="0" vertical="bottom" wrapText="0"/>
    </xf>
    <xf borderId="8" fillId="0" fontId="33" numFmtId="0" xfId="0" applyBorder="1" applyFont="1"/>
    <xf borderId="8" fillId="2" fontId="18" numFmtId="0" xfId="0" applyAlignment="1" applyBorder="1" applyFont="1">
      <alignment horizontal="right" readingOrder="0" shrinkToFit="0" vertical="bottom" wrapText="0"/>
    </xf>
    <xf borderId="0" fillId="0" fontId="18" numFmtId="0" xfId="0" applyAlignment="1" applyFont="1">
      <alignment readingOrder="0" shrinkToFit="0" vertical="bottom" wrapText="0"/>
    </xf>
    <xf borderId="0" fillId="0" fontId="18" numFmtId="0" xfId="0" applyAlignment="1" applyFont="1">
      <alignment horizontal="center" readingOrder="0" shrinkToFit="0" vertical="bottom" wrapText="0"/>
    </xf>
    <xf borderId="0" fillId="0" fontId="18"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Revenue / Total Income Trend, FY19-FY26 (₹ crore)</a:t>
            </a:r>
          </a:p>
        </c:rich>
      </c:tx>
      <c:overlay val="0"/>
    </c:title>
    <c:plotArea>
      <c:layout/>
      <c:barChart>
        <c:barDir val="col"/>
        <c:ser>
          <c:idx val="0"/>
          <c:order val="0"/>
          <c:tx>
            <c:v>Adani Power Revenue</c:v>
          </c:tx>
          <c:spPr>
            <a:solidFill>
              <a:schemeClr val="accent1"/>
            </a:solidFill>
            <a:ln cmpd="sng">
              <a:noFill/>
            </a:ln>
          </c:spPr>
          <c:cat>
            <c:strRef>
              <c:f>'2b_Growth_Chart_Data'!$A$2:$A$9</c:f>
            </c:strRef>
          </c:cat>
          <c:val>
            <c:numRef>
              <c:f>'2b_Growth_Chart_Data'!$B$2:$B$9</c:f>
              <c:numCache/>
            </c:numRef>
          </c:val>
        </c:ser>
        <c:ser>
          <c:idx val="1"/>
          <c:order val="1"/>
          <c:tx>
            <c:v>Tata Power Revenue</c:v>
          </c:tx>
          <c:spPr>
            <a:solidFill>
              <a:schemeClr val="accent2"/>
            </a:solidFill>
            <a:ln cmpd="sng">
              <a:noFill/>
            </a:ln>
          </c:spPr>
          <c:cat>
            <c:strRef>
              <c:f>'2b_Growth_Chart_Data'!$A$2:$A$9</c:f>
            </c:strRef>
          </c:cat>
          <c:val>
            <c:numRef>
              <c:f>'2b_Growth_Chart_Data'!$C$2:$C$9</c:f>
              <c:numCache/>
            </c:numRef>
          </c:val>
        </c:ser>
        <c:ser>
          <c:idx val="2"/>
          <c:order val="2"/>
          <c:tx>
            <c:v>Torrent Power Revenue</c:v>
          </c:tx>
          <c:spPr>
            <a:solidFill>
              <a:schemeClr val="accent3"/>
            </a:solidFill>
            <a:ln cmpd="sng">
              <a:noFill/>
            </a:ln>
          </c:spPr>
          <c:cat>
            <c:strRef>
              <c:f>'2b_Growth_Chart_Data'!$A$2:$A$9</c:f>
            </c:strRef>
          </c:cat>
          <c:val>
            <c:numRef>
              <c:f>'2b_Growth_Chart_Data'!$D$2:$D$9</c:f>
              <c:numCache/>
            </c:numRef>
          </c:val>
        </c:ser>
        <c:axId val="334142815"/>
        <c:axId val="1916599848"/>
      </c:barChart>
      <c:catAx>
        <c:axId val="334142815"/>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Fiscal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6599848"/>
      </c:catAx>
      <c:valAx>
        <c:axId val="1916599848"/>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 crore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41428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Net Profit / PAT Trend, FY19-FY26 (₹ crore)</a:t>
            </a:r>
          </a:p>
        </c:rich>
      </c:tx>
      <c:overlay val="0"/>
    </c:title>
    <c:plotArea>
      <c:layout/>
      <c:barChart>
        <c:barDir val="col"/>
        <c:ser>
          <c:idx val="0"/>
          <c:order val="0"/>
          <c:tx>
            <c:v>Adani Power PAT</c:v>
          </c:tx>
          <c:spPr>
            <a:solidFill>
              <a:schemeClr val="accent1"/>
            </a:solidFill>
            <a:ln cmpd="sng">
              <a:noFill/>
            </a:ln>
          </c:spPr>
          <c:cat>
            <c:strRef>
              <c:f>'2b_Growth_Chart_Data'!$A$12:$A$19</c:f>
            </c:strRef>
          </c:cat>
          <c:val>
            <c:numRef>
              <c:f>'2b_Growth_Chart_Data'!$B$12:$B$19</c:f>
              <c:numCache/>
            </c:numRef>
          </c:val>
        </c:ser>
        <c:ser>
          <c:idx val="1"/>
          <c:order val="1"/>
          <c:tx>
            <c:v>Tata Power PAT</c:v>
          </c:tx>
          <c:spPr>
            <a:solidFill>
              <a:schemeClr val="accent2"/>
            </a:solidFill>
            <a:ln cmpd="sng">
              <a:noFill/>
            </a:ln>
          </c:spPr>
          <c:cat>
            <c:strRef>
              <c:f>'2b_Growth_Chart_Data'!$A$12:$A$19</c:f>
            </c:strRef>
          </c:cat>
          <c:val>
            <c:numRef>
              <c:f>'2b_Growth_Chart_Data'!$C$12:$C$19</c:f>
              <c:numCache/>
            </c:numRef>
          </c:val>
        </c:ser>
        <c:ser>
          <c:idx val="2"/>
          <c:order val="2"/>
          <c:tx>
            <c:v>Torrent Power PAT</c:v>
          </c:tx>
          <c:spPr>
            <a:solidFill>
              <a:schemeClr val="accent3"/>
            </a:solidFill>
            <a:ln cmpd="sng">
              <a:noFill/>
            </a:ln>
          </c:spPr>
          <c:cat>
            <c:strRef>
              <c:f>'2b_Growth_Chart_Data'!$A$12:$A$19</c:f>
            </c:strRef>
          </c:cat>
          <c:val>
            <c:numRef>
              <c:f>'2b_Growth_Chart_Data'!$D$12:$D$19</c:f>
              <c:numCache/>
            </c:numRef>
          </c:val>
        </c:ser>
        <c:axId val="40724630"/>
        <c:axId val="841663163"/>
      </c:barChart>
      <c:catAx>
        <c:axId val="4072463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Fiscal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1663163"/>
      </c:catAx>
      <c:valAx>
        <c:axId val="841663163"/>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 crore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72463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Assets Trend, FY20-FY26 (₹ crore, consolidated)</a:t>
            </a:r>
          </a:p>
        </c:rich>
      </c:tx>
      <c:overlay val="0"/>
    </c:title>
    <c:plotArea>
      <c:layout/>
      <c:barChart>
        <c:barDir val="col"/>
        <c:ser>
          <c:idx val="0"/>
          <c:order val="0"/>
          <c:tx>
            <c:v>Adani Power Assets</c:v>
          </c:tx>
          <c:spPr>
            <a:solidFill>
              <a:schemeClr val="accent1"/>
            </a:solidFill>
            <a:ln cmpd="sng">
              <a:noFill/>
            </a:ln>
          </c:spPr>
          <c:cat>
            <c:strRef>
              <c:f>'2b_Growth_Chart_Data'!$A$22:$A$28</c:f>
            </c:strRef>
          </c:cat>
          <c:val>
            <c:numRef>
              <c:f>'2b_Growth_Chart_Data'!$B$22:$B$28</c:f>
              <c:numCache/>
            </c:numRef>
          </c:val>
        </c:ser>
        <c:ser>
          <c:idx val="1"/>
          <c:order val="1"/>
          <c:tx>
            <c:v>Tata Power Assets</c:v>
          </c:tx>
          <c:spPr>
            <a:solidFill>
              <a:schemeClr val="accent2"/>
            </a:solidFill>
            <a:ln cmpd="sng">
              <a:noFill/>
            </a:ln>
          </c:spPr>
          <c:cat>
            <c:strRef>
              <c:f>'2b_Growth_Chart_Data'!$A$22:$A$28</c:f>
            </c:strRef>
          </c:cat>
          <c:val>
            <c:numRef>
              <c:f>'2b_Growth_Chart_Data'!$C$22:$C$28</c:f>
              <c:numCache/>
            </c:numRef>
          </c:val>
        </c:ser>
        <c:ser>
          <c:idx val="2"/>
          <c:order val="2"/>
          <c:tx>
            <c:v>Torrent Power Assets</c:v>
          </c:tx>
          <c:spPr>
            <a:solidFill>
              <a:schemeClr val="accent3"/>
            </a:solidFill>
            <a:ln cmpd="sng">
              <a:noFill/>
            </a:ln>
          </c:spPr>
          <c:cat>
            <c:strRef>
              <c:f>'2b_Growth_Chart_Data'!$A$22:$A$28</c:f>
            </c:strRef>
          </c:cat>
          <c:val>
            <c:numRef>
              <c:f>'2b_Growth_Chart_Data'!$D$22:$D$28</c:f>
              <c:numCache/>
            </c:numRef>
          </c:val>
        </c:ser>
        <c:axId val="828639881"/>
        <c:axId val="613754459"/>
      </c:barChart>
      <c:catAx>
        <c:axId val="828639881"/>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Fiscal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13754459"/>
      </c:catAx>
      <c:valAx>
        <c:axId val="613754459"/>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 crore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86398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Segment Revenue Trends FY21-FY26 (₹ crore): Tata segments vs Adani Generation</a:t>
            </a:r>
          </a:p>
        </c:rich>
      </c:tx>
      <c:overlay val="0"/>
    </c:title>
    <c:plotArea>
      <c:layout/>
      <c:lineChart>
        <c:ser>
          <c:idx val="0"/>
          <c:order val="0"/>
          <c:tx>
            <c:v>Tata Generation Rev</c:v>
          </c:tx>
          <c:spPr>
            <a:ln cmpd="sng">
              <a:solidFill>
                <a:srgbClr val="4F81BD"/>
              </a:solidFill>
            </a:ln>
          </c:spPr>
          <c:marker>
            <c:symbol val="none"/>
          </c:marker>
          <c:cat>
            <c:strRef>
              <c:f>'6b_Segment_Chart_Data'!$A$2:$A$7</c:f>
            </c:strRef>
          </c:cat>
          <c:val>
            <c:numRef>
              <c:f>'6b_Segment_Chart_Data'!$B$2:$B$7</c:f>
              <c:numCache/>
            </c:numRef>
          </c:val>
          <c:smooth val="1"/>
        </c:ser>
        <c:ser>
          <c:idx val="1"/>
          <c:order val="1"/>
          <c:tx>
            <c:v>Tata Renewables Rev</c:v>
          </c:tx>
          <c:spPr>
            <a:ln cmpd="sng">
              <a:solidFill>
                <a:srgbClr val="C0504D"/>
              </a:solidFill>
            </a:ln>
          </c:spPr>
          <c:marker>
            <c:symbol val="none"/>
          </c:marker>
          <c:cat>
            <c:strRef>
              <c:f>'6b_Segment_Chart_Data'!$A$2:$A$7</c:f>
            </c:strRef>
          </c:cat>
          <c:val>
            <c:numRef>
              <c:f>'6b_Segment_Chart_Data'!$C$2:$C$7</c:f>
              <c:numCache/>
            </c:numRef>
          </c:val>
          <c:smooth val="1"/>
        </c:ser>
        <c:ser>
          <c:idx val="2"/>
          <c:order val="2"/>
          <c:tx>
            <c:v>Tata T&amp;D Rev</c:v>
          </c:tx>
          <c:spPr>
            <a:ln cmpd="sng">
              <a:solidFill>
                <a:srgbClr val="9BBB59"/>
              </a:solidFill>
            </a:ln>
          </c:spPr>
          <c:marker>
            <c:symbol val="none"/>
          </c:marker>
          <c:cat>
            <c:strRef>
              <c:f>'6b_Segment_Chart_Data'!$A$2:$A$7</c:f>
            </c:strRef>
          </c:cat>
          <c:val>
            <c:numRef>
              <c:f>'6b_Segment_Chart_Data'!$D$2:$D$7</c:f>
              <c:numCache/>
            </c:numRef>
          </c:val>
          <c:smooth val="1"/>
        </c:ser>
        <c:ser>
          <c:idx val="3"/>
          <c:order val="3"/>
          <c:tx>
            <c:v>Adani Generation Rev</c:v>
          </c:tx>
          <c:spPr>
            <a:ln cmpd="sng">
              <a:solidFill>
                <a:srgbClr val="8064A2"/>
              </a:solidFill>
            </a:ln>
          </c:spPr>
          <c:marker>
            <c:symbol val="none"/>
          </c:marker>
          <c:cat>
            <c:strRef>
              <c:f>'6b_Segment_Chart_Data'!$A$2:$A$7</c:f>
            </c:strRef>
          </c:cat>
          <c:val>
            <c:numRef>
              <c:f>'6b_Segment_Chart_Data'!$E$2:$E$7</c:f>
              <c:numCache/>
            </c:numRef>
          </c:val>
          <c:smooth val="1"/>
        </c:ser>
        <c:axId val="1344771392"/>
        <c:axId val="1177698140"/>
      </c:lineChart>
      <c:catAx>
        <c:axId val="1344771392"/>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Fiscal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7698140"/>
      </c:catAx>
      <c:valAx>
        <c:axId val="1177698140"/>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 crore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477139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1-Year Performance, Rebased to 100 (weekly adj close, 14-Jul-2025 = 100)</a:t>
            </a:r>
          </a:p>
        </c:rich>
      </c:tx>
      <c:overlay val="0"/>
    </c:title>
    <c:plotArea>
      <c:layout/>
      <c:lineChart>
        <c:ser>
          <c:idx val="0"/>
          <c:order val="0"/>
          <c:tx>
            <c:v>Adani (base=100)</c:v>
          </c:tx>
          <c:spPr>
            <a:ln cmpd="sng">
              <a:solidFill>
                <a:srgbClr val="4F81BD"/>
              </a:solidFill>
            </a:ln>
          </c:spPr>
          <c:marker>
            <c:symbol val="none"/>
          </c:marker>
          <c:cat>
            <c:strRef>
              <c:f>Weekly_Price_Data!$A$2:$A$55</c:f>
            </c:strRef>
          </c:cat>
          <c:val>
            <c:numRef>
              <c:f>Weekly_Price_Data!$K$2:$K$55</c:f>
              <c:numCache/>
            </c:numRef>
          </c:val>
          <c:smooth val="1"/>
        </c:ser>
        <c:ser>
          <c:idx val="1"/>
          <c:order val="1"/>
          <c:tx>
            <c:v>Tata (base=100)</c:v>
          </c:tx>
          <c:spPr>
            <a:ln cmpd="sng">
              <a:solidFill>
                <a:srgbClr val="C0504D"/>
              </a:solidFill>
            </a:ln>
          </c:spPr>
          <c:marker>
            <c:symbol val="none"/>
          </c:marker>
          <c:cat>
            <c:strRef>
              <c:f>Weekly_Price_Data!$A$2:$A$55</c:f>
            </c:strRef>
          </c:cat>
          <c:val>
            <c:numRef>
              <c:f>Weekly_Price_Data!$L$2:$L$55</c:f>
              <c:numCache/>
            </c:numRef>
          </c:val>
          <c:smooth val="1"/>
        </c:ser>
        <c:ser>
          <c:idx val="2"/>
          <c:order val="2"/>
          <c:tx>
            <c:v>Torrent (base=100)</c:v>
          </c:tx>
          <c:spPr>
            <a:ln cmpd="sng">
              <a:solidFill>
                <a:srgbClr val="9BBB59"/>
              </a:solidFill>
            </a:ln>
          </c:spPr>
          <c:marker>
            <c:symbol val="none"/>
          </c:marker>
          <c:cat>
            <c:strRef>
              <c:f>Weekly_Price_Data!$A$2:$A$55</c:f>
            </c:strRef>
          </c:cat>
          <c:val>
            <c:numRef>
              <c:f>Weekly_Price_Data!$M$2:$M$55</c:f>
              <c:numCache/>
            </c:numRef>
          </c:val>
          <c:smooth val="1"/>
        </c:ser>
        <c:ser>
          <c:idx val="3"/>
          <c:order val="3"/>
          <c:tx>
            <c:v>NiftyEnergy (base=100)</c:v>
          </c:tx>
          <c:spPr>
            <a:ln cmpd="sng">
              <a:solidFill>
                <a:srgbClr val="8064A2"/>
              </a:solidFill>
            </a:ln>
          </c:spPr>
          <c:marker>
            <c:symbol val="none"/>
          </c:marker>
          <c:cat>
            <c:strRef>
              <c:f>Weekly_Price_Data!$A$2:$A$55</c:f>
            </c:strRef>
          </c:cat>
          <c:val>
            <c:numRef>
              <c:f>Weekly_Price_Data!$N$2:$N$55</c:f>
              <c:numCache/>
            </c:numRef>
          </c:val>
          <c:smooth val="1"/>
        </c:ser>
        <c:axId val="437934048"/>
        <c:axId val="650649136"/>
      </c:lineChart>
      <c:catAx>
        <c:axId val="437934048"/>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Week ending</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0649136"/>
      </c:catAx>
      <c:valAx>
        <c:axId val="65064913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Index (start = 100)</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793404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Adani Power weekly adj close, Jul-2025 to Jul-2026 — events marked in hidden data sheet col C</a:t>
            </a:r>
          </a:p>
        </c:rich>
      </c:tx>
      <c:overlay val="0"/>
    </c:title>
    <c:plotArea>
      <c:layout/>
      <c:lineChart>
        <c:varyColors val="0"/>
        <c:ser>
          <c:idx val="0"/>
          <c:order val="0"/>
          <c:tx>
            <c:v>Adani Power (adj ₹)</c:v>
          </c:tx>
          <c:spPr>
            <a:ln cmpd="sng">
              <a:solidFill>
                <a:srgbClr val="4F81BD"/>
              </a:solidFill>
            </a:ln>
          </c:spPr>
          <c:marker>
            <c:symbol val="none"/>
          </c:marker>
          <c:cat>
            <c:strRef>
              <c:f>'12b_Announcement_Chart_Data'!$A$2:$A$55</c:f>
            </c:strRef>
          </c:cat>
          <c:val>
            <c:numRef>
              <c:f>'12b_Announcement_Chart_Data'!$B$2:$B$55</c:f>
              <c:numCache/>
            </c:numRef>
          </c:val>
          <c:smooth val="1"/>
        </c:ser>
        <c:axId val="85825820"/>
        <c:axId val="1764280454"/>
      </c:lineChart>
      <c:catAx>
        <c:axId val="8582582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Week ending</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64280454"/>
      </c:catAx>
      <c:valAx>
        <c:axId val="176428045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 per share (split-adjusted)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825820"/>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44</xdr:row>
      <xdr:rowOff>0</xdr:rowOff>
    </xdr:from>
    <xdr:ext cx="8639175" cy="43148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69</xdr:row>
      <xdr:rowOff>0</xdr:rowOff>
    </xdr:from>
    <xdr:ext cx="8639175" cy="43148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94</xdr:row>
      <xdr:rowOff>0</xdr:rowOff>
    </xdr:from>
    <xdr:ext cx="8639175" cy="43148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59</xdr:row>
      <xdr:rowOff>0</xdr:rowOff>
    </xdr:from>
    <xdr:ext cx="9353550" cy="467677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0</xdr:rowOff>
    </xdr:from>
    <xdr:ext cx="10077450" cy="5038725"/>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0</xdr:rowOff>
    </xdr:from>
    <xdr:ext cx="10077450" cy="4676775"/>
    <xdr:graphicFrame>
      <xdr:nvGraphicFramePr>
        <xdr:cNvPr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40.0"/>
    <col customWidth="1" min="3" max="3" width="60.0"/>
    <col customWidth="1" min="4" max="4" width="20.0"/>
    <col customWidth="1" min="5" max="26" width="8.71"/>
  </cols>
  <sheetData>
    <row r="1" ht="14.25" customHeight="1"/>
    <row r="2" ht="14.25" customHeight="1">
      <c r="B2" s="1" t="s">
        <v>0</v>
      </c>
    </row>
    <row r="3" ht="14.25" customHeight="1"/>
    <row r="4" ht="14.25" customHeight="1">
      <c r="B4" s="2" t="s">
        <v>1</v>
      </c>
      <c r="C4" s="3" t="s">
        <v>2</v>
      </c>
    </row>
    <row r="5" ht="14.25" customHeight="1">
      <c r="B5" s="2" t="s">
        <v>3</v>
      </c>
      <c r="C5" s="3" t="s">
        <v>4</v>
      </c>
    </row>
    <row r="6" ht="14.25" customHeight="1">
      <c r="B6" s="2" t="s">
        <v>5</v>
      </c>
      <c r="C6" s="3" t="s">
        <v>6</v>
      </c>
    </row>
    <row r="7" ht="14.25" customHeight="1">
      <c r="B7" s="2" t="s">
        <v>7</v>
      </c>
      <c r="C7" s="4" t="s">
        <v>8</v>
      </c>
    </row>
    <row r="8" ht="14.25" customHeight="1">
      <c r="B8" s="2" t="s">
        <v>9</v>
      </c>
      <c r="C8" s="3" t="s">
        <v>10</v>
      </c>
    </row>
    <row r="9" ht="14.25" customHeight="1"/>
    <row r="10" ht="14.25" customHeight="1">
      <c r="B10" s="5" t="s">
        <v>11</v>
      </c>
    </row>
    <row r="11" ht="14.25" customHeight="1">
      <c r="B11" s="3" t="s">
        <v>12</v>
      </c>
    </row>
    <row r="12" ht="14.25" customHeight="1">
      <c r="B12" s="3" t="s">
        <v>13</v>
      </c>
    </row>
    <row r="13" ht="14.25" customHeight="1">
      <c r="B13" s="3" t="s">
        <v>14</v>
      </c>
    </row>
    <row r="14" ht="14.25" customHeight="1">
      <c r="B14" s="6" t="s">
        <v>15</v>
      </c>
    </row>
    <row r="15" ht="14.25" customHeight="1">
      <c r="B15" s="3" t="s">
        <v>16</v>
      </c>
    </row>
    <row r="16" ht="14.25" customHeight="1">
      <c r="B16" s="3" t="s">
        <v>17</v>
      </c>
    </row>
    <row r="17" ht="14.25" customHeight="1">
      <c r="B17" s="3" t="s">
        <v>18</v>
      </c>
    </row>
    <row r="18" ht="14.25" customHeight="1">
      <c r="B18" s="3" t="s">
        <v>19</v>
      </c>
    </row>
    <row r="19" ht="14.25" customHeight="1">
      <c r="B19" s="3" t="s">
        <v>20</v>
      </c>
    </row>
    <row r="20" ht="14.25" customHeight="1">
      <c r="B20" s="3" t="s">
        <v>21</v>
      </c>
    </row>
    <row r="21" ht="14.25" customHeight="1">
      <c r="B21" s="3" t="s">
        <v>22</v>
      </c>
    </row>
    <row r="22" ht="14.25" customHeight="1">
      <c r="B22" s="3" t="s">
        <v>23</v>
      </c>
    </row>
    <row r="23" ht="14.25" customHeight="1">
      <c r="B23" s="3" t="s">
        <v>24</v>
      </c>
    </row>
    <row r="24" ht="14.25" customHeight="1"/>
    <row r="25" ht="14.25" customHeight="1">
      <c r="B25" s="7" t="s">
        <v>25</v>
      </c>
    </row>
    <row r="26" ht="14.25" customHeight="1">
      <c r="B26" s="8" t="s">
        <v>26</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6:D33"/>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2.0"/>
    <col customWidth="1" min="2" max="4" width="45.0"/>
    <col customWidth="1" min="5" max="26" width="8.71"/>
  </cols>
  <sheetData>
    <row r="1" ht="24.0" customHeight="1">
      <c r="A1" s="9" t="s">
        <v>12</v>
      </c>
    </row>
    <row r="2" ht="14.25" customHeight="1">
      <c r="A2" s="10" t="s">
        <v>27</v>
      </c>
    </row>
    <row r="3" ht="6.0" customHeight="1"/>
    <row r="4" ht="14.25" customHeight="1"/>
    <row r="5" ht="14.25" customHeight="1">
      <c r="A5" s="11"/>
      <c r="B5" s="11" t="s">
        <v>28</v>
      </c>
      <c r="C5" s="11" t="s">
        <v>29</v>
      </c>
      <c r="D5" s="11" t="s">
        <v>30</v>
      </c>
    </row>
    <row r="6" ht="60.0" customHeight="1">
      <c r="A6" s="12" t="s">
        <v>31</v>
      </c>
      <c r="B6" s="13" t="s">
        <v>32</v>
      </c>
      <c r="C6" s="13" t="s">
        <v>33</v>
      </c>
      <c r="D6" s="13" t="s">
        <v>34</v>
      </c>
    </row>
    <row r="7" ht="60.0" customHeight="1">
      <c r="A7" s="12" t="s">
        <v>35</v>
      </c>
      <c r="B7" s="13" t="s">
        <v>36</v>
      </c>
      <c r="C7" s="13" t="s">
        <v>37</v>
      </c>
      <c r="D7" s="13" t="s">
        <v>38</v>
      </c>
    </row>
    <row r="8" ht="60.0" customHeight="1">
      <c r="A8" s="12" t="s">
        <v>39</v>
      </c>
      <c r="B8" s="13" t="s">
        <v>40</v>
      </c>
      <c r="C8" s="13" t="s">
        <v>41</v>
      </c>
      <c r="D8" s="13" t="s">
        <v>42</v>
      </c>
    </row>
    <row r="9" ht="60.0" customHeight="1">
      <c r="A9" s="12" t="s">
        <v>43</v>
      </c>
      <c r="B9" s="13" t="s">
        <v>44</v>
      </c>
      <c r="C9" s="13" t="s">
        <v>45</v>
      </c>
      <c r="D9" s="13" t="s">
        <v>46</v>
      </c>
    </row>
    <row r="10" ht="60.0" customHeight="1">
      <c r="A10" s="12" t="s">
        <v>47</v>
      </c>
      <c r="B10" s="13" t="s">
        <v>48</v>
      </c>
      <c r="C10" s="13" t="s">
        <v>49</v>
      </c>
      <c r="D10" s="13" t="s">
        <v>50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2:D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0"/>
    <col customWidth="1" min="2" max="6" width="11.0"/>
    <col customWidth="1" min="7" max="9" width="12.0"/>
    <col customWidth="1" min="10" max="10" width="13.0"/>
    <col customWidth="1" min="11" max="26" width="8.71"/>
  </cols>
  <sheetData>
    <row r="1" ht="24.0" customHeight="1">
      <c r="A1" s="9" t="s">
        <v>51</v>
      </c>
    </row>
    <row r="2" ht="14.25" customHeight="1">
      <c r="A2" s="10" t="s">
        <v>52</v>
      </c>
    </row>
    <row r="3" ht="6.0" customHeight="1"/>
    <row r="4" ht="14.25" customHeight="1"/>
    <row r="5" ht="14.25" customHeight="1">
      <c r="A5" s="11" t="s">
        <v>53</v>
      </c>
      <c r="B5" s="11" t="s">
        <v>54</v>
      </c>
      <c r="C5" s="11" t="s">
        <v>55</v>
      </c>
      <c r="D5" s="11" t="s">
        <v>56</v>
      </c>
      <c r="E5" s="11" t="s">
        <v>57</v>
      </c>
      <c r="F5" s="11" t="s">
        <v>58</v>
      </c>
      <c r="G5" s="11" t="s">
        <v>59</v>
      </c>
      <c r="H5" s="11" t="s">
        <v>60</v>
      </c>
      <c r="I5" s="11" t="s">
        <v>61</v>
      </c>
      <c r="J5" s="11" t="s">
        <v>62</v>
      </c>
    </row>
    <row r="6" ht="14.25" customHeight="1"/>
    <row r="7" ht="14.25" customHeight="1">
      <c r="A7" s="2" t="s">
        <v>63</v>
      </c>
      <c r="B7" s="3">
        <v>26362.0</v>
      </c>
      <c r="C7" s="3">
        <v>27841.81</v>
      </c>
      <c r="D7" s="3">
        <v>28149.68</v>
      </c>
      <c r="E7" s="3">
        <v>31686.47</v>
      </c>
      <c r="F7" s="3">
        <v>43040.52</v>
      </c>
      <c r="G7" s="3">
        <v>60281.48</v>
      </c>
      <c r="H7" s="3">
        <v>58905.83</v>
      </c>
      <c r="I7" s="3">
        <v>57865.28</v>
      </c>
      <c r="J7" s="14">
        <f t="shared" ref="J7:J10" si="1">IFERROR(IF(OR(B7="N/A",I7="N/A"),"N/A",(I7/B7)^(1/7)-1),"N/A")</f>
        <v>0.1188634848</v>
      </c>
    </row>
    <row r="8" ht="14.25" customHeight="1">
      <c r="A8" s="2" t="s">
        <v>64</v>
      </c>
      <c r="B8" s="3">
        <v>-984.4</v>
      </c>
      <c r="C8" s="3">
        <v>-2274.77</v>
      </c>
      <c r="D8" s="3">
        <v>1269.98</v>
      </c>
      <c r="E8" s="3">
        <v>4911.58</v>
      </c>
      <c r="F8" s="3">
        <v>10726.64</v>
      </c>
      <c r="G8" s="3">
        <v>20828.79</v>
      </c>
      <c r="H8" s="3">
        <v>12749.61</v>
      </c>
      <c r="I8" s="3">
        <v>12971.08</v>
      </c>
      <c r="J8" s="14">
        <f t="shared" si="1"/>
        <v>-2.445346836</v>
      </c>
    </row>
    <row r="9" ht="14.25" customHeight="1">
      <c r="A9" s="2" t="s">
        <v>65</v>
      </c>
      <c r="B9" s="4" t="s">
        <v>66</v>
      </c>
      <c r="C9" s="3">
        <v>75025.0</v>
      </c>
      <c r="D9" s="3">
        <v>78535.47</v>
      </c>
      <c r="E9" s="3">
        <v>81981.02</v>
      </c>
      <c r="F9" s="3">
        <v>85821.27</v>
      </c>
      <c r="G9" s="3">
        <v>92324.77</v>
      </c>
      <c r="H9" s="3">
        <v>112917.57</v>
      </c>
      <c r="I9" s="3">
        <v>142279.92</v>
      </c>
      <c r="J9" s="14" t="str">
        <f t="shared" si="1"/>
        <v>N/A</v>
      </c>
    </row>
    <row r="10" ht="14.25" customHeight="1">
      <c r="A10" s="2" t="s">
        <v>67</v>
      </c>
      <c r="B10" s="4" t="s">
        <v>66</v>
      </c>
      <c r="C10" s="4" t="s">
        <v>66</v>
      </c>
      <c r="D10" s="3">
        <v>84.0</v>
      </c>
      <c r="E10" s="4" t="s">
        <v>66</v>
      </c>
      <c r="F10" s="3">
        <v>2805.0</v>
      </c>
      <c r="G10" s="4" t="s">
        <v>66</v>
      </c>
      <c r="H10" s="3">
        <v>4210.0</v>
      </c>
      <c r="I10" s="3">
        <v>3967.0</v>
      </c>
      <c r="J10" s="14" t="str">
        <f t="shared" si="1"/>
        <v>N/A</v>
      </c>
    </row>
    <row r="11" ht="39.75" customHeight="1">
      <c r="A11" s="15" t="s">
        <v>68</v>
      </c>
    </row>
    <row r="12" ht="14.25" customHeight="1"/>
    <row r="13" ht="14.25" customHeight="1">
      <c r="A13" s="2" t="s">
        <v>69</v>
      </c>
      <c r="B13" s="3">
        <v>30743.0</v>
      </c>
      <c r="C13" s="3">
        <v>30350.0</v>
      </c>
      <c r="D13" s="3">
        <v>33239.0</v>
      </c>
      <c r="E13" s="3">
        <v>42576.0</v>
      </c>
      <c r="F13" s="3">
        <v>56033.0</v>
      </c>
      <c r="G13" s="3">
        <v>63272.32</v>
      </c>
      <c r="H13" s="3">
        <v>66992.17</v>
      </c>
      <c r="I13" s="3">
        <v>64171.66</v>
      </c>
      <c r="J13" s="14">
        <f t="shared" ref="J13:J16" si="2">IFERROR(IF(OR(B13="N/A",I13="N/A"),"N/A",(I13/B13)^(1/7)-1),"N/A")</f>
        <v>0.1108533227</v>
      </c>
    </row>
    <row r="14" ht="14.25" customHeight="1">
      <c r="A14" s="2" t="s">
        <v>70</v>
      </c>
      <c r="B14" s="4" t="s">
        <v>66</v>
      </c>
      <c r="C14" s="4" t="s">
        <v>66</v>
      </c>
      <c r="D14" s="3">
        <v>1439.0</v>
      </c>
      <c r="E14" s="3">
        <v>2156.0</v>
      </c>
      <c r="F14" s="3">
        <v>3810.0</v>
      </c>
      <c r="G14" s="3">
        <v>4280.0</v>
      </c>
      <c r="H14" s="3">
        <v>4775.0</v>
      </c>
      <c r="I14" s="3">
        <v>5118.0</v>
      </c>
      <c r="J14" s="14" t="str">
        <f t="shared" si="2"/>
        <v>N/A</v>
      </c>
    </row>
    <row r="15" ht="14.25" customHeight="1">
      <c r="A15" s="2" t="s">
        <v>71</v>
      </c>
      <c r="B15" s="4" t="s">
        <v>66</v>
      </c>
      <c r="C15" s="4" t="s">
        <v>66</v>
      </c>
      <c r="D15" s="3">
        <v>98838.86</v>
      </c>
      <c r="E15" s="3">
        <v>112884.59</v>
      </c>
      <c r="F15" s="3">
        <v>128349.04</v>
      </c>
      <c r="G15" s="3">
        <v>139553.49</v>
      </c>
      <c r="H15" s="3">
        <v>156711.29</v>
      </c>
      <c r="I15" s="3">
        <v>175171.78</v>
      </c>
      <c r="J15" s="14" t="str">
        <f t="shared" si="2"/>
        <v>N/A</v>
      </c>
    </row>
    <row r="16" ht="14.25" customHeight="1">
      <c r="A16" s="2" t="s">
        <v>72</v>
      </c>
      <c r="B16" s="4" t="s">
        <v>66</v>
      </c>
      <c r="C16" s="4" t="s">
        <v>66</v>
      </c>
      <c r="D16" s="4" t="s">
        <v>66</v>
      </c>
      <c r="E16" s="3">
        <v>2815.0</v>
      </c>
      <c r="F16" s="3">
        <v>3071.0</v>
      </c>
      <c r="G16" s="4" t="s">
        <v>66</v>
      </c>
      <c r="H16" s="3">
        <v>3130.0</v>
      </c>
      <c r="I16" s="3">
        <v>3295.0</v>
      </c>
      <c r="J16" s="14" t="str">
        <f t="shared" si="2"/>
        <v>N/A</v>
      </c>
    </row>
    <row r="17" ht="39.75" customHeight="1">
      <c r="A17" s="15" t="s">
        <v>73</v>
      </c>
    </row>
    <row r="18" ht="14.25" customHeight="1"/>
    <row r="19" ht="14.25" customHeight="1">
      <c r="A19" s="2" t="s">
        <v>74</v>
      </c>
      <c r="B19" s="4" t="s">
        <v>66</v>
      </c>
      <c r="C19" s="3">
        <v>13818.22</v>
      </c>
      <c r="D19" s="3">
        <v>12314.47</v>
      </c>
      <c r="E19" s="3">
        <v>14492.65</v>
      </c>
      <c r="F19" s="3">
        <v>26075.97</v>
      </c>
      <c r="G19" s="3">
        <v>27527.53</v>
      </c>
      <c r="H19" s="3">
        <v>29652.47</v>
      </c>
      <c r="I19" s="3">
        <v>29288.92</v>
      </c>
      <c r="J19" s="14" t="str">
        <f t="shared" ref="J19:J22" si="3">IFERROR(IF(OR(B19="N/A",I19="N/A"),"N/A",(I19/B19)^(1/7)-1),"N/A")</f>
        <v>N/A</v>
      </c>
    </row>
    <row r="20" ht="14.25" customHeight="1">
      <c r="A20" s="2" t="s">
        <v>75</v>
      </c>
      <c r="B20" s="4" t="s">
        <v>66</v>
      </c>
      <c r="C20" s="3">
        <v>1178.88</v>
      </c>
      <c r="D20" s="3">
        <v>1295.87</v>
      </c>
      <c r="E20" s="3">
        <v>458.7</v>
      </c>
      <c r="F20" s="3">
        <v>2164.67</v>
      </c>
      <c r="G20" s="3">
        <v>1896.0</v>
      </c>
      <c r="H20" s="3">
        <v>3058.61</v>
      </c>
      <c r="I20" s="3">
        <v>2469.36</v>
      </c>
      <c r="J20" s="14" t="str">
        <f t="shared" si="3"/>
        <v>N/A</v>
      </c>
    </row>
    <row r="21" ht="14.25" customHeight="1">
      <c r="A21" s="2" t="s">
        <v>76</v>
      </c>
      <c r="B21" s="4" t="s">
        <v>66</v>
      </c>
      <c r="C21" s="3">
        <v>23623.04</v>
      </c>
      <c r="D21" s="3">
        <v>23538.72</v>
      </c>
      <c r="E21" s="3">
        <v>25022.7</v>
      </c>
      <c r="F21" s="3">
        <v>29910.18</v>
      </c>
      <c r="G21" s="3">
        <v>33392.48</v>
      </c>
      <c r="H21" s="3">
        <v>36573.38</v>
      </c>
      <c r="I21" s="3">
        <v>45193.28</v>
      </c>
      <c r="J21" s="14" t="str">
        <f t="shared" si="3"/>
        <v>N/A</v>
      </c>
    </row>
    <row r="22" ht="14.25" customHeight="1">
      <c r="A22" s="2" t="s">
        <v>77</v>
      </c>
      <c r="B22" s="4" t="s">
        <v>66</v>
      </c>
      <c r="C22" s="4" t="s">
        <v>66</v>
      </c>
      <c r="D22" s="3">
        <v>7429.0</v>
      </c>
      <c r="E22" s="3">
        <v>7603.0</v>
      </c>
      <c r="F22" s="3">
        <v>6992.0</v>
      </c>
      <c r="G22" s="3">
        <v>6987.0</v>
      </c>
      <c r="H22" s="3">
        <v>7213.0</v>
      </c>
      <c r="I22" s="3">
        <v>6687.0</v>
      </c>
      <c r="J22" s="14" t="str">
        <f t="shared" si="3"/>
        <v>N/A</v>
      </c>
    </row>
    <row r="23" ht="39.75" customHeight="1">
      <c r="A23" s="15" t="s">
        <v>78</v>
      </c>
    </row>
    <row r="24" ht="14.25" customHeight="1"/>
    <row r="25" ht="14.25" customHeight="1">
      <c r="A25" s="16" t="s">
        <v>79</v>
      </c>
    </row>
    <row r="26" ht="14.25" customHeight="1">
      <c r="A26" s="3" t="s">
        <v>80</v>
      </c>
      <c r="B26" s="4" t="s">
        <v>81</v>
      </c>
      <c r="C26" s="4" t="s">
        <v>81</v>
      </c>
      <c r="D26" s="4" t="s">
        <v>81</v>
      </c>
      <c r="E26" s="4" t="s">
        <v>81</v>
      </c>
      <c r="F26" s="4" t="s">
        <v>81</v>
      </c>
      <c r="G26" s="4" t="s">
        <v>81</v>
      </c>
      <c r="H26" s="4" t="s">
        <v>81</v>
      </c>
      <c r="I26" s="4" t="s">
        <v>81</v>
      </c>
    </row>
    <row r="27" ht="14.25" customHeight="1">
      <c r="A27" s="3" t="s">
        <v>82</v>
      </c>
      <c r="B27" s="4" t="s">
        <v>81</v>
      </c>
      <c r="C27" s="4" t="s">
        <v>81</v>
      </c>
      <c r="D27" s="4" t="s">
        <v>81</v>
      </c>
      <c r="E27" s="4" t="s">
        <v>81</v>
      </c>
      <c r="F27" s="4" t="s">
        <v>81</v>
      </c>
      <c r="G27" s="4" t="s">
        <v>81</v>
      </c>
      <c r="H27" s="4" t="s">
        <v>81</v>
      </c>
      <c r="I27" s="4" t="s">
        <v>81</v>
      </c>
    </row>
    <row r="28" ht="14.25" customHeight="1">
      <c r="A28" s="3" t="s">
        <v>83</v>
      </c>
      <c r="B28" s="4" t="s">
        <v>81</v>
      </c>
      <c r="C28" s="4" t="s">
        <v>81</v>
      </c>
      <c r="D28" s="4" t="s">
        <v>81</v>
      </c>
      <c r="E28" s="4" t="s">
        <v>81</v>
      </c>
      <c r="F28" s="4" t="s">
        <v>81</v>
      </c>
      <c r="G28" s="4" t="s">
        <v>81</v>
      </c>
      <c r="H28" s="4" t="s">
        <v>81</v>
      </c>
      <c r="I28" s="4" t="s">
        <v>81</v>
      </c>
    </row>
    <row r="29" ht="14.25" customHeight="1"/>
    <row r="30" ht="14.25" customHeight="1">
      <c r="A30" s="17" t="s">
        <v>84</v>
      </c>
    </row>
    <row r="31" ht="99.75" customHeight="1">
      <c r="A31" s="18" t="s">
        <v>85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J1"/>
    <mergeCell ref="A2:J2"/>
    <mergeCell ref="A11:J11"/>
    <mergeCell ref="A17:J17"/>
    <mergeCell ref="A23:J23"/>
    <mergeCell ref="A31:J35"/>
  </mergeCell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 t="s">
        <v>86</v>
      </c>
      <c r="B1" s="3" t="s">
        <v>87</v>
      </c>
      <c r="C1" s="3" t="s">
        <v>88</v>
      </c>
      <c r="D1" s="3" t="s">
        <v>89</v>
      </c>
    </row>
    <row r="2" ht="14.25" customHeight="1">
      <c r="A2" s="3" t="s">
        <v>54</v>
      </c>
      <c r="B2" s="3">
        <v>26362.0</v>
      </c>
      <c r="C2" s="3">
        <v>30743.0</v>
      </c>
    </row>
    <row r="3" ht="14.25" customHeight="1">
      <c r="A3" s="3" t="s">
        <v>55</v>
      </c>
      <c r="B3" s="3">
        <v>27841.81</v>
      </c>
      <c r="C3" s="3">
        <v>30350.0</v>
      </c>
      <c r="D3" s="3">
        <v>13818.22</v>
      </c>
    </row>
    <row r="4" ht="14.25" customHeight="1">
      <c r="A4" s="3" t="s">
        <v>56</v>
      </c>
      <c r="B4" s="3">
        <v>28149.68</v>
      </c>
      <c r="C4" s="3">
        <v>33239.0</v>
      </c>
      <c r="D4" s="3">
        <v>12314.47</v>
      </c>
    </row>
    <row r="5" ht="14.25" customHeight="1">
      <c r="A5" s="3" t="s">
        <v>57</v>
      </c>
      <c r="B5" s="3">
        <v>31686.47</v>
      </c>
      <c r="C5" s="3">
        <v>42576.0</v>
      </c>
      <c r="D5" s="3">
        <v>14492.65</v>
      </c>
    </row>
    <row r="6" ht="14.25" customHeight="1">
      <c r="A6" s="3" t="s">
        <v>58</v>
      </c>
      <c r="B6" s="3">
        <v>43040.52</v>
      </c>
      <c r="C6" s="3">
        <v>56033.0</v>
      </c>
      <c r="D6" s="3">
        <v>26075.97</v>
      </c>
    </row>
    <row r="7" ht="14.25" customHeight="1">
      <c r="A7" s="3" t="s">
        <v>59</v>
      </c>
      <c r="B7" s="3">
        <v>60281.48</v>
      </c>
      <c r="C7" s="3">
        <v>63272.32</v>
      </c>
      <c r="D7" s="3">
        <v>27527.53</v>
      </c>
    </row>
    <row r="8" ht="14.25" customHeight="1">
      <c r="A8" s="3" t="s">
        <v>60</v>
      </c>
      <c r="B8" s="3">
        <v>58905.83</v>
      </c>
      <c r="C8" s="3">
        <v>66992.17</v>
      </c>
      <c r="D8" s="3">
        <v>29652.47</v>
      </c>
    </row>
    <row r="9" ht="14.25" customHeight="1">
      <c r="A9" s="3" t="s">
        <v>61</v>
      </c>
      <c r="B9" s="3">
        <v>57865.28</v>
      </c>
      <c r="C9" s="3">
        <v>64171.66</v>
      </c>
      <c r="D9" s="3">
        <v>29288.92</v>
      </c>
    </row>
    <row r="10" ht="14.25" customHeight="1"/>
    <row r="11" ht="14.25" customHeight="1">
      <c r="A11" s="3" t="s">
        <v>86</v>
      </c>
      <c r="B11" s="3" t="s">
        <v>90</v>
      </c>
      <c r="C11" s="3" t="s">
        <v>91</v>
      </c>
      <c r="D11" s="3" t="s">
        <v>92</v>
      </c>
    </row>
    <row r="12" ht="14.25" customHeight="1">
      <c r="A12" s="3" t="s">
        <v>54</v>
      </c>
      <c r="B12" s="3">
        <v>-984.4</v>
      </c>
    </row>
    <row r="13" ht="14.25" customHeight="1">
      <c r="A13" s="3" t="s">
        <v>55</v>
      </c>
      <c r="B13" s="3">
        <v>-2274.77</v>
      </c>
      <c r="D13" s="3">
        <v>1178.88</v>
      </c>
    </row>
    <row r="14" ht="14.25" customHeight="1">
      <c r="A14" s="3" t="s">
        <v>56</v>
      </c>
      <c r="B14" s="3">
        <v>1269.98</v>
      </c>
      <c r="C14" s="3">
        <v>1439.0</v>
      </c>
      <c r="D14" s="3">
        <v>1295.87</v>
      </c>
    </row>
    <row r="15" ht="14.25" customHeight="1">
      <c r="A15" s="3" t="s">
        <v>57</v>
      </c>
      <c r="B15" s="3">
        <v>4911.58</v>
      </c>
      <c r="C15" s="3">
        <v>2156.0</v>
      </c>
      <c r="D15" s="3">
        <v>458.7</v>
      </c>
    </row>
    <row r="16" ht="14.25" customHeight="1">
      <c r="A16" s="3" t="s">
        <v>58</v>
      </c>
      <c r="B16" s="3">
        <v>10726.64</v>
      </c>
      <c r="C16" s="3">
        <v>3810.0</v>
      </c>
      <c r="D16" s="3">
        <v>2164.67</v>
      </c>
    </row>
    <row r="17" ht="14.25" customHeight="1">
      <c r="A17" s="3" t="s">
        <v>59</v>
      </c>
      <c r="B17" s="3">
        <v>20828.79</v>
      </c>
      <c r="C17" s="3">
        <v>4280.0</v>
      </c>
      <c r="D17" s="3">
        <v>1896.0</v>
      </c>
    </row>
    <row r="18" ht="14.25" customHeight="1">
      <c r="A18" s="3" t="s">
        <v>60</v>
      </c>
      <c r="B18" s="3">
        <v>12749.61</v>
      </c>
      <c r="C18" s="3">
        <v>4775.0</v>
      </c>
      <c r="D18" s="3">
        <v>3058.61</v>
      </c>
    </row>
    <row r="19" ht="14.25" customHeight="1">
      <c r="A19" s="3" t="s">
        <v>61</v>
      </c>
      <c r="B19" s="3">
        <v>12971.08</v>
      </c>
      <c r="C19" s="3">
        <v>5118.0</v>
      </c>
      <c r="D19" s="3">
        <v>2469.36</v>
      </c>
    </row>
    <row r="20" ht="14.25" customHeight="1"/>
    <row r="21" ht="14.25" customHeight="1">
      <c r="A21" s="3" t="s">
        <v>86</v>
      </c>
      <c r="B21" s="3" t="s">
        <v>93</v>
      </c>
      <c r="C21" s="3" t="s">
        <v>94</v>
      </c>
      <c r="D21" s="3" t="s">
        <v>95</v>
      </c>
    </row>
    <row r="22" ht="14.25" customHeight="1">
      <c r="A22" s="3" t="s">
        <v>55</v>
      </c>
      <c r="B22" s="3">
        <v>75025.0</v>
      </c>
      <c r="D22" s="3">
        <v>23623.04</v>
      </c>
    </row>
    <row r="23" ht="14.25" customHeight="1">
      <c r="A23" s="3" t="s">
        <v>56</v>
      </c>
      <c r="B23" s="3">
        <v>78535.47</v>
      </c>
      <c r="C23" s="3">
        <v>98838.86</v>
      </c>
      <c r="D23" s="3">
        <v>23538.72</v>
      </c>
    </row>
    <row r="24" ht="14.25" customHeight="1">
      <c r="A24" s="3" t="s">
        <v>57</v>
      </c>
      <c r="B24" s="3">
        <v>81981.02</v>
      </c>
      <c r="C24" s="3">
        <v>112884.59</v>
      </c>
      <c r="D24" s="3">
        <v>25022.7</v>
      </c>
    </row>
    <row r="25" ht="14.25" customHeight="1">
      <c r="A25" s="3" t="s">
        <v>58</v>
      </c>
      <c r="B25" s="3">
        <v>85821.27</v>
      </c>
      <c r="C25" s="3">
        <v>128349.04</v>
      </c>
      <c r="D25" s="3">
        <v>29910.18</v>
      </c>
    </row>
    <row r="26" ht="14.25" customHeight="1">
      <c r="A26" s="3" t="s">
        <v>59</v>
      </c>
      <c r="B26" s="3">
        <v>92324.77</v>
      </c>
      <c r="C26" s="3">
        <v>139553.49</v>
      </c>
      <c r="D26" s="3">
        <v>33392.48</v>
      </c>
    </row>
    <row r="27" ht="14.25" customHeight="1">
      <c r="A27" s="3" t="s">
        <v>60</v>
      </c>
      <c r="B27" s="3">
        <v>112917.57</v>
      </c>
      <c r="C27" s="3">
        <v>156711.29</v>
      </c>
      <c r="D27" s="3">
        <v>36573.38</v>
      </c>
    </row>
    <row r="28" ht="14.25" customHeight="1">
      <c r="A28" s="3" t="s">
        <v>61</v>
      </c>
      <c r="B28" s="3">
        <v>142279.92</v>
      </c>
      <c r="C28" s="3">
        <v>175171.78</v>
      </c>
      <c r="D28" s="3">
        <v>45193.28</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2.0"/>
    <col customWidth="1" min="2" max="9" width="11.0"/>
    <col customWidth="1" min="10" max="26" width="8.71"/>
  </cols>
  <sheetData>
    <row r="1" ht="24.0" customHeight="1">
      <c r="A1" s="9" t="s">
        <v>96</v>
      </c>
    </row>
    <row r="2" ht="14.25" customHeight="1">
      <c r="A2" s="10" t="s">
        <v>97</v>
      </c>
    </row>
    <row r="3" ht="6.0" customHeight="1"/>
    <row r="4" ht="14.25" customHeight="1"/>
    <row r="5" ht="14.25" customHeight="1">
      <c r="A5" s="11" t="s">
        <v>53</v>
      </c>
      <c r="B5" s="11" t="s">
        <v>54</v>
      </c>
      <c r="C5" s="11" t="s">
        <v>55</v>
      </c>
      <c r="D5" s="11" t="s">
        <v>56</v>
      </c>
      <c r="E5" s="11" t="s">
        <v>57</v>
      </c>
      <c r="F5" s="11" t="s">
        <v>58</v>
      </c>
      <c r="G5" s="11" t="s">
        <v>59</v>
      </c>
      <c r="H5" s="11" t="s">
        <v>60</v>
      </c>
      <c r="I5" s="11" t="s">
        <v>61</v>
      </c>
    </row>
    <row r="6" ht="14.25" customHeight="1"/>
    <row r="7" ht="14.25" customHeight="1">
      <c r="A7" s="2" t="s">
        <v>98</v>
      </c>
      <c r="B7" s="19" t="str">
        <f>IFERROR(IF(OR(ISTEXT('2_Growth_Comparison'!B7),ISTEXT('2_Growth_Comparison'!B9)),"N/A",'2_Growth_Comparison'!B7/'2_Growth_Comparison'!B9),"N/A")</f>
        <v>N/A</v>
      </c>
      <c r="C7" s="19">
        <f>IFERROR(IF(OR(ISTEXT('2_Growth_Comparison'!C7),ISTEXT('2_Growth_Comparison'!C9)),"N/A",'2_Growth_Comparison'!C7/'2_Growth_Comparison'!C9),"N/A")</f>
        <v>0.3711004332</v>
      </c>
      <c r="D7" s="19">
        <f>IFERROR(IF(OR(ISTEXT('2_Growth_Comparison'!D7),ISTEXT('2_Growth_Comparison'!D9)),"N/A",'2_Growth_Comparison'!D7/'2_Growth_Comparison'!D9),"N/A")</f>
        <v>0.3584326929</v>
      </c>
      <c r="E7" s="19">
        <f>IFERROR(IF(OR(ISTEXT('2_Growth_Comparison'!E7),ISTEXT('2_Growth_Comparison'!E9)),"N/A",'2_Growth_Comparison'!E7/'2_Growth_Comparison'!E9),"N/A")</f>
        <v>0.3865098287</v>
      </c>
      <c r="F7" s="19">
        <f>IFERROR(IF(OR(ISTEXT('2_Growth_Comparison'!F7),ISTEXT('2_Growth_Comparison'!F9)),"N/A",'2_Growth_Comparison'!F7/'2_Growth_Comparison'!F9),"N/A")</f>
        <v>0.501513436</v>
      </c>
      <c r="G7" s="19">
        <f>IFERROR(IF(OR(ISTEXT('2_Growth_Comparison'!G7),ISTEXT('2_Growth_Comparison'!G9)),"N/A",'2_Growth_Comparison'!G7/'2_Growth_Comparison'!G9),"N/A")</f>
        <v>0.6529285694</v>
      </c>
      <c r="H7" s="19">
        <f>IFERROR(IF(OR(ISTEXT('2_Growth_Comparison'!H7),ISTEXT('2_Growth_Comparison'!H9)),"N/A",'2_Growth_Comparison'!H7/'2_Growth_Comparison'!H9),"N/A")</f>
        <v>0.5216710739</v>
      </c>
      <c r="I7" s="19">
        <f>IFERROR(IF(OR(ISTEXT('2_Growth_Comparison'!I7),ISTEXT('2_Growth_Comparison'!I9)),"N/A",'2_Growth_Comparison'!I7/'2_Growth_Comparison'!I9),"N/A")</f>
        <v>0.4067002568</v>
      </c>
    </row>
    <row r="8" ht="14.25" customHeight="1">
      <c r="A8" s="2" t="s">
        <v>99</v>
      </c>
      <c r="B8" s="19" t="str">
        <f>IFERROR(IF(OR(ISTEXT('2_Growth_Comparison'!B7),ISTEXT('2_Growth_Comparison'!B10)),"N/A",'2_Growth_Comparison'!B7*100/'2_Growth_Comparison'!B10),"N/A")</f>
        <v>N/A</v>
      </c>
      <c r="C8" s="19" t="str">
        <f>IFERROR(IF(OR(ISTEXT('2_Growth_Comparison'!C7),ISTEXT('2_Growth_Comparison'!C10)),"N/A",'2_Growth_Comparison'!C7*100/'2_Growth_Comparison'!C10),"N/A")</f>
        <v>N/A</v>
      </c>
      <c r="D8" s="19">
        <f>IFERROR(IF(OR(ISTEXT('2_Growth_Comparison'!D7),ISTEXT('2_Growth_Comparison'!D10)),"N/A",'2_Growth_Comparison'!D7*100/'2_Growth_Comparison'!D10),"N/A")</f>
        <v>33511.52381</v>
      </c>
      <c r="E8" s="19" t="str">
        <f>IFERROR(IF(OR(ISTEXT('2_Growth_Comparison'!E7),ISTEXT('2_Growth_Comparison'!E10)),"N/A",'2_Growth_Comparison'!E7*100/'2_Growth_Comparison'!E10),"N/A")</f>
        <v>N/A</v>
      </c>
      <c r="F8" s="19">
        <f>IFERROR(IF(OR(ISTEXT('2_Growth_Comparison'!F7),ISTEXT('2_Growth_Comparison'!F10)),"N/A",'2_Growth_Comparison'!F7*100/'2_Growth_Comparison'!F10),"N/A")</f>
        <v>1534.42139</v>
      </c>
      <c r="G8" s="19" t="str">
        <f>IFERROR(IF(OR(ISTEXT('2_Growth_Comparison'!G7),ISTEXT('2_Growth_Comparison'!G10)),"N/A",'2_Growth_Comparison'!G7*100/'2_Growth_Comparison'!G10),"N/A")</f>
        <v>N/A</v>
      </c>
      <c r="H8" s="19">
        <f>IFERROR(IF(OR(ISTEXT('2_Growth_Comparison'!H7),ISTEXT('2_Growth_Comparison'!H10)),"N/A",'2_Growth_Comparison'!H7*100/'2_Growth_Comparison'!H10),"N/A")</f>
        <v>1399.188361</v>
      </c>
      <c r="I8" s="19">
        <f>IFERROR(IF(OR(ISTEXT('2_Growth_Comparison'!I7),ISTEXT('2_Growth_Comparison'!I10)),"N/A",'2_Growth_Comparison'!I7*100/'2_Growth_Comparison'!I10),"N/A")</f>
        <v>1458.665994</v>
      </c>
    </row>
    <row r="9" ht="14.25" customHeight="1"/>
    <row r="10" ht="14.25" customHeight="1">
      <c r="A10" s="2" t="s">
        <v>100</v>
      </c>
      <c r="B10" s="19" t="str">
        <f>IFERROR(IF(OR(ISTEXT('2_Growth_Comparison'!B13),ISTEXT('2_Growth_Comparison'!B15)),"N/A",'2_Growth_Comparison'!B13/'2_Growth_Comparison'!B15),"N/A")</f>
        <v>N/A</v>
      </c>
      <c r="C10" s="19" t="str">
        <f>IFERROR(IF(OR(ISTEXT('2_Growth_Comparison'!C13),ISTEXT('2_Growth_Comparison'!C15)),"N/A",'2_Growth_Comparison'!C13/'2_Growth_Comparison'!C15),"N/A")</f>
        <v>N/A</v>
      </c>
      <c r="D10" s="19">
        <f>IFERROR(IF(OR(ISTEXT('2_Growth_Comparison'!D13),ISTEXT('2_Growth_Comparison'!D15)),"N/A",'2_Growth_Comparison'!D13/'2_Growth_Comparison'!D15),"N/A")</f>
        <v>0.3362948541</v>
      </c>
      <c r="E10" s="19">
        <f>IFERROR(IF(OR(ISTEXT('2_Growth_Comparison'!E13),ISTEXT('2_Growth_Comparison'!E15)),"N/A",'2_Growth_Comparison'!E13/'2_Growth_Comparison'!E15),"N/A")</f>
        <v>0.377163969</v>
      </c>
      <c r="F10" s="19">
        <f>IFERROR(IF(OR(ISTEXT('2_Growth_Comparison'!F13),ISTEXT('2_Growth_Comparison'!F15)),"N/A",'2_Growth_Comparison'!F13/'2_Growth_Comparison'!F15),"N/A")</f>
        <v>0.4365673479</v>
      </c>
      <c r="G10" s="19">
        <f>IFERROR(IF(OR(ISTEXT('2_Growth_Comparison'!G13),ISTEXT('2_Growth_Comparison'!G15)),"N/A",'2_Growth_Comparison'!G13/'2_Growth_Comparison'!G15),"N/A")</f>
        <v>0.4533911692</v>
      </c>
      <c r="H10" s="19">
        <f>IFERROR(IF(OR(ISTEXT('2_Growth_Comparison'!H13),ISTEXT('2_Growth_Comparison'!H15)),"N/A",'2_Growth_Comparison'!H13/'2_Growth_Comparison'!H15),"N/A")</f>
        <v>0.4274878345</v>
      </c>
      <c r="I10" s="19">
        <f>IFERROR(IF(OR(ISTEXT('2_Growth_Comparison'!I13),ISTEXT('2_Growth_Comparison'!I15)),"N/A",'2_Growth_Comparison'!I13/'2_Growth_Comparison'!I15),"N/A")</f>
        <v>0.366335605</v>
      </c>
    </row>
    <row r="11" ht="14.25" customHeight="1">
      <c r="A11" s="2" t="s">
        <v>101</v>
      </c>
      <c r="B11" s="19" t="str">
        <f>IFERROR(IF(OR(ISTEXT('2_Growth_Comparison'!B13),ISTEXT('2_Growth_Comparison'!B16)),"N/A",'2_Growth_Comparison'!B13*100/'2_Growth_Comparison'!B16),"N/A")</f>
        <v>N/A</v>
      </c>
      <c r="C11" s="19" t="str">
        <f>IFERROR(IF(OR(ISTEXT('2_Growth_Comparison'!C13),ISTEXT('2_Growth_Comparison'!C16)),"N/A",'2_Growth_Comparison'!C13*100/'2_Growth_Comparison'!C16),"N/A")</f>
        <v>N/A</v>
      </c>
      <c r="D11" s="19" t="str">
        <f>IFERROR(IF(OR(ISTEXT('2_Growth_Comparison'!D13),ISTEXT('2_Growth_Comparison'!D16)),"N/A",'2_Growth_Comparison'!D13*100/'2_Growth_Comparison'!D16),"N/A")</f>
        <v>N/A</v>
      </c>
      <c r="E11" s="19">
        <f>IFERROR(IF(OR(ISTEXT('2_Growth_Comparison'!E13),ISTEXT('2_Growth_Comparison'!E16)),"N/A",'2_Growth_Comparison'!E13*100/'2_Growth_Comparison'!E16),"N/A")</f>
        <v>1512.468917</v>
      </c>
      <c r="F11" s="19">
        <f>IFERROR(IF(OR(ISTEXT('2_Growth_Comparison'!F13),ISTEXT('2_Growth_Comparison'!F16)),"N/A",'2_Growth_Comparison'!F13*100/'2_Growth_Comparison'!F16),"N/A")</f>
        <v>1824.584826</v>
      </c>
      <c r="G11" s="19" t="str">
        <f>IFERROR(IF(OR(ISTEXT('2_Growth_Comparison'!G13),ISTEXT('2_Growth_Comparison'!G16)),"N/A",'2_Growth_Comparison'!G13*100/'2_Growth_Comparison'!G16),"N/A")</f>
        <v>N/A</v>
      </c>
      <c r="H11" s="19">
        <f>IFERROR(IF(OR(ISTEXT('2_Growth_Comparison'!H13),ISTEXT('2_Growth_Comparison'!H16)),"N/A",'2_Growth_Comparison'!H13*100/'2_Growth_Comparison'!H16),"N/A")</f>
        <v>2140.32492</v>
      </c>
      <c r="I11" s="19">
        <f>IFERROR(IF(OR(ISTEXT('2_Growth_Comparison'!I13),ISTEXT('2_Growth_Comparison'!I16)),"N/A",'2_Growth_Comparison'!I13*100/'2_Growth_Comparison'!I16),"N/A")</f>
        <v>1947.546586</v>
      </c>
    </row>
    <row r="12" ht="14.25" customHeight="1"/>
    <row r="13" ht="14.25" customHeight="1">
      <c r="A13" s="2" t="s">
        <v>102</v>
      </c>
      <c r="B13" s="19" t="str">
        <f>IFERROR(IF(OR(ISTEXT('2_Growth_Comparison'!B19),ISTEXT('2_Growth_Comparison'!B21)),"N/A",'2_Growth_Comparison'!B19/'2_Growth_Comparison'!B21),"N/A")</f>
        <v>N/A</v>
      </c>
      <c r="C13" s="19">
        <f>IFERROR(IF(OR(ISTEXT('2_Growth_Comparison'!C19),ISTEXT('2_Growth_Comparison'!C21)),"N/A",'2_Growth_Comparison'!C19/'2_Growth_Comparison'!C21),"N/A")</f>
        <v>0.58494673</v>
      </c>
      <c r="D13" s="19">
        <f>IFERROR(IF(OR(ISTEXT('2_Growth_Comparison'!D19),ISTEXT('2_Growth_Comparison'!D21)),"N/A",'2_Growth_Comparison'!D19/'2_Growth_Comparison'!D21),"N/A")</f>
        <v>0.5231580137</v>
      </c>
      <c r="E13" s="19">
        <f>IFERROR(IF(OR(ISTEXT('2_Growth_Comparison'!E19),ISTEXT('2_Growth_Comparison'!E21)),"N/A",'2_Growth_Comparison'!E19/'2_Growth_Comparison'!E21),"N/A")</f>
        <v>0.5791801045</v>
      </c>
      <c r="F13" s="19">
        <f>IFERROR(IF(OR(ISTEXT('2_Growth_Comparison'!F19),ISTEXT('2_Growth_Comparison'!F21)),"N/A",'2_Growth_Comparison'!F19/'2_Growth_Comparison'!F21),"N/A")</f>
        <v>0.8718091967</v>
      </c>
      <c r="G13" s="19">
        <f>IFERROR(IF(OR(ISTEXT('2_Growth_Comparison'!G19),ISTEXT('2_Growth_Comparison'!G21)),"N/A",'2_Growth_Comparison'!G19/'2_Growth_Comparison'!G21),"N/A")</f>
        <v>0.82436315</v>
      </c>
      <c r="H13" s="19">
        <f>IFERROR(IF(OR(ISTEXT('2_Growth_Comparison'!H19),ISTEXT('2_Growth_Comparison'!H21)),"N/A",'2_Growth_Comparison'!H19/'2_Growth_Comparison'!H21),"N/A")</f>
        <v>0.8107664646</v>
      </c>
      <c r="I13" s="19">
        <f>IFERROR(IF(OR(ISTEXT('2_Growth_Comparison'!I19),ISTEXT('2_Growth_Comparison'!I21)),"N/A",'2_Growth_Comparison'!I19/'2_Growth_Comparison'!I21),"N/A")</f>
        <v>0.6480813077</v>
      </c>
    </row>
    <row r="14" ht="14.25" customHeight="1">
      <c r="A14" s="2" t="s">
        <v>103</v>
      </c>
      <c r="B14" s="19" t="str">
        <f>IFERROR(IF(OR(ISTEXT('2_Growth_Comparison'!B19),ISTEXT('2_Growth_Comparison'!B22)),"N/A",'2_Growth_Comparison'!B19*100/'2_Growth_Comparison'!B22),"N/A")</f>
        <v>N/A</v>
      </c>
      <c r="C14" s="19" t="str">
        <f>IFERROR(IF(OR(ISTEXT('2_Growth_Comparison'!C19),ISTEXT('2_Growth_Comparison'!C22)),"N/A",'2_Growth_Comparison'!C19*100/'2_Growth_Comparison'!C22),"N/A")</f>
        <v>N/A</v>
      </c>
      <c r="D14" s="19">
        <f>IFERROR(IF(OR(ISTEXT('2_Growth_Comparison'!D19),ISTEXT('2_Growth_Comparison'!D22)),"N/A",'2_Growth_Comparison'!D19*100/'2_Growth_Comparison'!D22),"N/A")</f>
        <v>165.7621483</v>
      </c>
      <c r="E14" s="19">
        <f>IFERROR(IF(OR(ISTEXT('2_Growth_Comparison'!E19),ISTEXT('2_Growth_Comparison'!E22)),"N/A",'2_Growth_Comparison'!E19*100/'2_Growth_Comparison'!E22),"N/A")</f>
        <v>190.6175194</v>
      </c>
      <c r="F14" s="19">
        <f>IFERROR(IF(OR(ISTEXT('2_Growth_Comparison'!F19),ISTEXT('2_Growth_Comparison'!F22)),"N/A",'2_Growth_Comparison'!F19*100/'2_Growth_Comparison'!F22),"N/A")</f>
        <v>372.9400744</v>
      </c>
      <c r="G14" s="19">
        <f>IFERROR(IF(OR(ISTEXT('2_Growth_Comparison'!G19),ISTEXT('2_Growth_Comparison'!G22)),"N/A",'2_Growth_Comparison'!G19*100/'2_Growth_Comparison'!G22),"N/A")</f>
        <v>393.9821096</v>
      </c>
      <c r="H14" s="19">
        <f>IFERROR(IF(OR(ISTEXT('2_Growth_Comparison'!H19),ISTEXT('2_Growth_Comparison'!H22)),"N/A",'2_Growth_Comparison'!H19*100/'2_Growth_Comparison'!H22),"N/A")</f>
        <v>411.0976016</v>
      </c>
      <c r="I14" s="19">
        <f>IFERROR(IF(OR(ISTEXT('2_Growth_Comparison'!I19),ISTEXT('2_Growth_Comparison'!I22)),"N/A",'2_Growth_Comparison'!I19*100/'2_Growth_Comparison'!I22),"N/A")</f>
        <v>437.9979064</v>
      </c>
    </row>
    <row r="15" ht="14.25" customHeight="1"/>
    <row r="16" ht="14.25" customHeight="1">
      <c r="A16" s="17" t="s">
        <v>84</v>
      </c>
    </row>
    <row r="17" ht="129.75" customHeight="1">
      <c r="A17" s="18" t="s">
        <v>104</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I1"/>
    <mergeCell ref="A2:I2"/>
    <mergeCell ref="A17:I2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24.0"/>
    <col customWidth="1" min="3" max="3" width="30.0"/>
    <col customWidth="1" min="4" max="4" width="18.0"/>
    <col customWidth="1" min="5" max="5" width="16.0"/>
    <col customWidth="1" min="6" max="6" width="18.0"/>
    <col customWidth="1" min="7" max="7" width="45.0"/>
    <col customWidth="1" min="8" max="26" width="8.71"/>
  </cols>
  <sheetData>
    <row r="1" ht="24.0" customHeight="1">
      <c r="A1" s="9" t="s">
        <v>105</v>
      </c>
    </row>
    <row r="2" ht="14.25" customHeight="1">
      <c r="A2" s="10" t="s">
        <v>106</v>
      </c>
    </row>
    <row r="3" ht="6.0" customHeight="1"/>
    <row r="4" ht="14.25" customHeight="1"/>
    <row r="5" ht="14.25" customHeight="1">
      <c r="A5" s="11" t="s">
        <v>107</v>
      </c>
      <c r="B5" s="11" t="s">
        <v>108</v>
      </c>
      <c r="C5" s="11" t="s">
        <v>109</v>
      </c>
      <c r="D5" s="11" t="s">
        <v>110</v>
      </c>
      <c r="E5" s="11" t="s">
        <v>111</v>
      </c>
      <c r="F5" s="11" t="s">
        <v>112</v>
      </c>
      <c r="G5" s="11" t="s">
        <v>113</v>
      </c>
    </row>
    <row r="6" ht="45.0" customHeight="1">
      <c r="A6" s="13" t="s">
        <v>114</v>
      </c>
      <c r="B6" s="13" t="s">
        <v>115</v>
      </c>
      <c r="C6" s="13" t="s">
        <v>116</v>
      </c>
      <c r="D6" s="13" t="s">
        <v>117</v>
      </c>
      <c r="E6" s="13" t="s">
        <v>118</v>
      </c>
      <c r="F6" s="13" t="s">
        <v>119</v>
      </c>
      <c r="G6" s="13" t="s">
        <v>120</v>
      </c>
    </row>
    <row r="7" ht="45.0" customHeight="1">
      <c r="A7" s="13" t="s">
        <v>114</v>
      </c>
      <c r="B7" s="13" t="s">
        <v>121</v>
      </c>
      <c r="C7" s="13" t="s">
        <v>122</v>
      </c>
      <c r="D7" s="13" t="s">
        <v>123</v>
      </c>
      <c r="E7" s="13" t="s">
        <v>124</v>
      </c>
      <c r="F7" s="13" t="s">
        <v>125</v>
      </c>
      <c r="G7" s="13" t="s">
        <v>126</v>
      </c>
    </row>
    <row r="8" ht="45.0" customHeight="1">
      <c r="A8" s="13" t="s">
        <v>114</v>
      </c>
      <c r="B8" s="13" t="s">
        <v>127</v>
      </c>
      <c r="C8" s="13" t="s">
        <v>128</v>
      </c>
      <c r="D8" s="13" t="s">
        <v>129</v>
      </c>
      <c r="E8" s="13" t="s">
        <v>130</v>
      </c>
      <c r="F8" s="13" t="s">
        <v>119</v>
      </c>
      <c r="G8" s="13" t="s">
        <v>131</v>
      </c>
    </row>
    <row r="9" ht="45.0" customHeight="1">
      <c r="A9" s="13" t="s">
        <v>114</v>
      </c>
      <c r="B9" s="13" t="s">
        <v>127</v>
      </c>
      <c r="C9" s="13" t="s">
        <v>132</v>
      </c>
      <c r="D9" s="13" t="s">
        <v>133</v>
      </c>
      <c r="E9" s="13" t="s">
        <v>130</v>
      </c>
      <c r="F9" s="13" t="s">
        <v>134</v>
      </c>
      <c r="G9" s="13" t="s">
        <v>135</v>
      </c>
    </row>
    <row r="10" ht="45.0" customHeight="1">
      <c r="A10" s="13" t="s">
        <v>114</v>
      </c>
      <c r="B10" s="13" t="s">
        <v>136</v>
      </c>
      <c r="C10" s="13" t="s">
        <v>137</v>
      </c>
      <c r="D10" s="13" t="s">
        <v>138</v>
      </c>
      <c r="E10" s="13" t="s">
        <v>118</v>
      </c>
      <c r="F10" s="13" t="s">
        <v>119</v>
      </c>
      <c r="G10" s="13" t="s">
        <v>139</v>
      </c>
    </row>
    <row r="11" ht="45.0" customHeight="1">
      <c r="A11" s="13" t="s">
        <v>114</v>
      </c>
      <c r="B11" s="13" t="s">
        <v>140</v>
      </c>
      <c r="C11" s="13" t="s">
        <v>141</v>
      </c>
      <c r="D11" s="13" t="s">
        <v>142</v>
      </c>
      <c r="E11" s="13" t="s">
        <v>143</v>
      </c>
      <c r="F11" s="13" t="s">
        <v>144</v>
      </c>
      <c r="G11" s="13" t="s">
        <v>145</v>
      </c>
    </row>
    <row r="12" ht="45.0" customHeight="1">
      <c r="A12" s="13" t="s">
        <v>114</v>
      </c>
      <c r="B12" s="13" t="s">
        <v>146</v>
      </c>
      <c r="C12" s="13" t="s">
        <v>147</v>
      </c>
      <c r="D12" s="13" t="s">
        <v>148</v>
      </c>
      <c r="E12" s="13" t="s">
        <v>149</v>
      </c>
      <c r="F12" s="13" t="s">
        <v>150</v>
      </c>
      <c r="G12" s="13" t="s">
        <v>151</v>
      </c>
    </row>
    <row r="13" ht="45.0" customHeight="1">
      <c r="A13" s="13" t="s">
        <v>114</v>
      </c>
      <c r="B13" s="13" t="s">
        <v>152</v>
      </c>
      <c r="C13" s="13" t="s">
        <v>153</v>
      </c>
      <c r="D13" s="13" t="s">
        <v>154</v>
      </c>
      <c r="E13" s="13" t="s">
        <v>155</v>
      </c>
      <c r="F13" s="13" t="s">
        <v>150</v>
      </c>
      <c r="G13" s="13" t="s">
        <v>156</v>
      </c>
    </row>
    <row r="14" ht="45.0" customHeight="1">
      <c r="A14" s="13" t="s">
        <v>157</v>
      </c>
      <c r="B14" s="13" t="s">
        <v>158</v>
      </c>
      <c r="C14" s="13" t="s">
        <v>159</v>
      </c>
      <c r="D14" s="13" t="s">
        <v>160</v>
      </c>
      <c r="E14" s="13" t="s">
        <v>118</v>
      </c>
      <c r="F14" s="13" t="s">
        <v>161</v>
      </c>
      <c r="G14" s="13" t="s">
        <v>162</v>
      </c>
    </row>
    <row r="15" ht="45.0" customHeight="1">
      <c r="A15" s="13" t="s">
        <v>157</v>
      </c>
      <c r="B15" s="13" t="s">
        <v>163</v>
      </c>
      <c r="C15" s="13" t="s">
        <v>164</v>
      </c>
      <c r="D15" s="13" t="s">
        <v>165</v>
      </c>
      <c r="E15" s="13" t="s">
        <v>118</v>
      </c>
      <c r="F15" s="13" t="s">
        <v>161</v>
      </c>
      <c r="G15" s="13" t="s">
        <v>166</v>
      </c>
    </row>
    <row r="16" ht="45.0" customHeight="1">
      <c r="A16" s="13" t="s">
        <v>157</v>
      </c>
      <c r="B16" s="13" t="s">
        <v>167</v>
      </c>
      <c r="C16" s="13" t="s">
        <v>168</v>
      </c>
      <c r="D16" s="13" t="s">
        <v>165</v>
      </c>
      <c r="E16" s="13" t="s">
        <v>118</v>
      </c>
      <c r="F16" s="13" t="s">
        <v>169</v>
      </c>
      <c r="G16" s="13" t="s">
        <v>170</v>
      </c>
    </row>
    <row r="17" ht="45.0" customHeight="1">
      <c r="A17" s="13" t="s">
        <v>157</v>
      </c>
      <c r="B17" s="13" t="s">
        <v>171</v>
      </c>
      <c r="C17" s="13" t="s">
        <v>172</v>
      </c>
      <c r="D17" s="13" t="s">
        <v>165</v>
      </c>
      <c r="E17" s="13" t="s">
        <v>173</v>
      </c>
      <c r="F17" s="13" t="s">
        <v>174</v>
      </c>
      <c r="G17" s="13" t="s">
        <v>175</v>
      </c>
    </row>
    <row r="18" ht="45.0" customHeight="1">
      <c r="A18" s="13" t="s">
        <v>157</v>
      </c>
      <c r="B18" s="13" t="s">
        <v>176</v>
      </c>
      <c r="C18" s="13" t="s">
        <v>177</v>
      </c>
      <c r="D18" s="13" t="s">
        <v>165</v>
      </c>
      <c r="E18" s="13" t="s">
        <v>178</v>
      </c>
      <c r="F18" s="13" t="s">
        <v>179</v>
      </c>
      <c r="G18" s="13" t="s">
        <v>180</v>
      </c>
    </row>
    <row r="19" ht="45.0" customHeight="1">
      <c r="A19" s="13" t="s">
        <v>181</v>
      </c>
      <c r="B19" s="13" t="s">
        <v>182</v>
      </c>
      <c r="C19" s="13" t="s">
        <v>183</v>
      </c>
      <c r="D19" s="13" t="s">
        <v>184</v>
      </c>
      <c r="E19" s="13" t="s">
        <v>185</v>
      </c>
      <c r="F19" s="13" t="s">
        <v>161</v>
      </c>
      <c r="G19" s="13" t="s">
        <v>186</v>
      </c>
    </row>
    <row r="20" ht="45.0" customHeight="1">
      <c r="A20" s="13" t="s">
        <v>181</v>
      </c>
      <c r="B20" s="13" t="s">
        <v>187</v>
      </c>
      <c r="C20" s="13" t="s">
        <v>188</v>
      </c>
      <c r="D20" s="13" t="s">
        <v>189</v>
      </c>
      <c r="E20" s="13" t="s">
        <v>118</v>
      </c>
      <c r="F20" s="13" t="s">
        <v>179</v>
      </c>
      <c r="G20" s="13" t="s">
        <v>190</v>
      </c>
    </row>
    <row r="21" ht="45.0" customHeight="1">
      <c r="A21" s="13" t="s">
        <v>181</v>
      </c>
      <c r="B21" s="13" t="s">
        <v>191</v>
      </c>
      <c r="C21" s="13" t="s">
        <v>192</v>
      </c>
      <c r="D21" s="13" t="s">
        <v>193</v>
      </c>
      <c r="E21" s="13" t="s">
        <v>118</v>
      </c>
      <c r="F21" s="13" t="s">
        <v>179</v>
      </c>
      <c r="G21" s="13" t="s">
        <v>194</v>
      </c>
    </row>
    <row r="22" ht="45.0" customHeight="1">
      <c r="A22" s="13" t="s">
        <v>181</v>
      </c>
      <c r="B22" s="13" t="s">
        <v>195</v>
      </c>
      <c r="C22" s="13" t="s">
        <v>196</v>
      </c>
      <c r="D22" s="13" t="s">
        <v>197</v>
      </c>
      <c r="E22" s="13" t="s">
        <v>118</v>
      </c>
      <c r="F22" s="13" t="s">
        <v>179</v>
      </c>
      <c r="G22" s="13" t="s">
        <v>198</v>
      </c>
    </row>
    <row r="23" ht="14.25" customHeight="1"/>
    <row r="24" ht="14.25" customHeight="1">
      <c r="A24" s="17" t="s">
        <v>84</v>
      </c>
    </row>
    <row r="25" ht="99.75" customHeight="1">
      <c r="A25" s="18" t="s">
        <v>199</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G1"/>
    <mergeCell ref="A2:G2"/>
    <mergeCell ref="A25:G3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0.0"/>
    <col customWidth="1" min="2" max="4" width="20.0"/>
    <col customWidth="1" min="5" max="5" width="50.0"/>
    <col customWidth="1" min="6" max="26" width="8.71"/>
  </cols>
  <sheetData>
    <row r="1" ht="24.0" customHeight="1">
      <c r="A1" s="9" t="s">
        <v>200</v>
      </c>
    </row>
    <row r="2" ht="14.25" customHeight="1">
      <c r="A2" s="10" t="s">
        <v>201</v>
      </c>
    </row>
    <row r="3" ht="6.0" customHeight="1"/>
    <row r="4" ht="14.25" customHeight="1"/>
    <row r="5" ht="14.25" customHeight="1">
      <c r="A5" s="11" t="s">
        <v>202</v>
      </c>
      <c r="B5" s="11" t="s">
        <v>114</v>
      </c>
      <c r="C5" s="11" t="s">
        <v>157</v>
      </c>
      <c r="D5" s="11" t="s">
        <v>181</v>
      </c>
      <c r="E5" s="11" t="s">
        <v>203</v>
      </c>
    </row>
    <row r="6" ht="54.75" customHeight="1">
      <c r="A6" s="13" t="s">
        <v>204</v>
      </c>
      <c r="B6" s="13" t="s">
        <v>205</v>
      </c>
      <c r="C6" s="13" t="s">
        <v>206</v>
      </c>
      <c r="D6" s="13" t="s">
        <v>207</v>
      </c>
      <c r="E6" s="13" t="s">
        <v>208</v>
      </c>
    </row>
    <row r="7" ht="54.75" customHeight="1">
      <c r="A7" s="13" t="s">
        <v>209</v>
      </c>
      <c r="B7" s="13" t="s">
        <v>210</v>
      </c>
      <c r="C7" s="13" t="s">
        <v>211</v>
      </c>
      <c r="D7" s="13" t="s">
        <v>212</v>
      </c>
      <c r="E7" s="13" t="s">
        <v>213</v>
      </c>
    </row>
    <row r="8" ht="54.75" customHeight="1">
      <c r="A8" s="13" t="s">
        <v>214</v>
      </c>
      <c r="B8" s="13" t="s">
        <v>215</v>
      </c>
      <c r="C8" s="13" t="s">
        <v>216</v>
      </c>
      <c r="D8" s="20" t="s">
        <v>217</v>
      </c>
      <c r="E8" s="13" t="s">
        <v>218</v>
      </c>
    </row>
    <row r="9" ht="54.75" customHeight="1">
      <c r="A9" s="13" t="s">
        <v>219</v>
      </c>
      <c r="B9" s="13" t="s">
        <v>220</v>
      </c>
      <c r="C9" s="13" t="s">
        <v>221</v>
      </c>
      <c r="D9" s="13" t="s">
        <v>222</v>
      </c>
      <c r="E9" s="13" t="s">
        <v>223</v>
      </c>
    </row>
    <row r="10" ht="54.75" customHeight="1">
      <c r="A10" s="13" t="s">
        <v>224</v>
      </c>
      <c r="B10" s="13" t="s">
        <v>225</v>
      </c>
      <c r="C10" s="13" t="s">
        <v>226</v>
      </c>
      <c r="D10" s="20" t="s">
        <v>227</v>
      </c>
      <c r="E10" s="13"/>
    </row>
    <row r="11" ht="54.75" customHeight="1">
      <c r="A11" s="13" t="s">
        <v>228</v>
      </c>
      <c r="B11" s="13" t="s">
        <v>229</v>
      </c>
      <c r="C11" s="13" t="s">
        <v>230</v>
      </c>
      <c r="D11" s="13" t="s">
        <v>231</v>
      </c>
      <c r="E11" s="13" t="s">
        <v>232</v>
      </c>
    </row>
    <row r="12" ht="54.75" customHeight="1">
      <c r="A12" s="13" t="s">
        <v>233</v>
      </c>
      <c r="B12" s="13" t="s">
        <v>234</v>
      </c>
      <c r="C12" s="13" t="s">
        <v>235</v>
      </c>
      <c r="D12" s="13" t="s">
        <v>236</v>
      </c>
      <c r="E12" s="13" t="s">
        <v>237</v>
      </c>
    </row>
    <row r="13" ht="14.25" customHeight="1"/>
    <row r="14" ht="14.25" customHeight="1">
      <c r="A14" s="17" t="s">
        <v>84</v>
      </c>
    </row>
    <row r="15" ht="99.75" customHeight="1">
      <c r="A15" s="18" t="s">
        <v>238</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E1"/>
    <mergeCell ref="A2:E2"/>
    <mergeCell ref="A15:E2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42.0"/>
    <col customWidth="1" min="2" max="8" width="12.0"/>
    <col customWidth="1" min="9" max="26" width="8.71"/>
  </cols>
  <sheetData>
    <row r="1" ht="24.0" customHeight="1">
      <c r="A1" s="9" t="s">
        <v>239</v>
      </c>
    </row>
    <row r="2" ht="14.25" customHeight="1">
      <c r="A2" s="10" t="s">
        <v>240</v>
      </c>
    </row>
    <row r="3" ht="6.0" customHeight="1"/>
    <row r="4" ht="14.25" customHeight="1"/>
    <row r="5" ht="14.25" customHeight="1">
      <c r="A5" s="17" t="s">
        <v>241</v>
      </c>
    </row>
    <row r="6" ht="14.25" customHeight="1">
      <c r="A6" s="11" t="s">
        <v>242</v>
      </c>
      <c r="B6" s="11" t="s">
        <v>55</v>
      </c>
      <c r="C6" s="11" t="s">
        <v>56</v>
      </c>
      <c r="D6" s="11" t="s">
        <v>57</v>
      </c>
      <c r="E6" s="11" t="s">
        <v>58</v>
      </c>
      <c r="F6" s="11" t="s">
        <v>59</v>
      </c>
      <c r="G6" s="11" t="s">
        <v>60</v>
      </c>
      <c r="H6" s="11" t="s">
        <v>61</v>
      </c>
    </row>
    <row r="7" ht="14.25" customHeight="1">
      <c r="A7" s="12" t="s">
        <v>243</v>
      </c>
      <c r="B7" s="21">
        <v>26005.92</v>
      </c>
      <c r="C7" s="21">
        <v>25870.6</v>
      </c>
      <c r="D7" s="21">
        <v>27221.78</v>
      </c>
      <c r="E7" s="21">
        <v>37895.85</v>
      </c>
      <c r="F7" s="21">
        <v>50014.16</v>
      </c>
      <c r="G7" s="21">
        <v>56107.06</v>
      </c>
      <c r="H7" s="21">
        <v>54240.52</v>
      </c>
    </row>
    <row r="8" ht="14.25" customHeight="1">
      <c r="A8" s="12" t="s">
        <v>244</v>
      </c>
      <c r="B8" s="21">
        <v>461.8</v>
      </c>
      <c r="C8" s="21">
        <v>350.88</v>
      </c>
      <c r="D8" s="21">
        <v>489.4</v>
      </c>
      <c r="E8" s="21">
        <v>877.45</v>
      </c>
      <c r="F8" s="21">
        <v>337.09</v>
      </c>
      <c r="G8" s="21">
        <v>96.03</v>
      </c>
      <c r="H8" s="21">
        <v>0.0</v>
      </c>
    </row>
    <row r="9" ht="14.25" customHeight="1">
      <c r="A9" s="12" t="s">
        <v>245</v>
      </c>
      <c r="B9" s="21" t="s">
        <v>66</v>
      </c>
      <c r="C9" s="21" t="s">
        <v>66</v>
      </c>
      <c r="D9" s="21">
        <v>6571.37</v>
      </c>
      <c r="E9" s="21">
        <v>6957.13</v>
      </c>
      <c r="F9" s="21">
        <v>20557.22</v>
      </c>
      <c r="G9" s="21">
        <v>16540.39</v>
      </c>
      <c r="H9" s="21">
        <v>15757.55</v>
      </c>
    </row>
    <row r="10" ht="14.25" customHeight="1">
      <c r="A10" s="12" t="s">
        <v>246</v>
      </c>
      <c r="B10" s="21" t="s">
        <v>66</v>
      </c>
      <c r="C10" s="21" t="s">
        <v>66</v>
      </c>
      <c r="D10" s="21">
        <v>5.76</v>
      </c>
      <c r="E10" s="21">
        <v>717.57</v>
      </c>
      <c r="F10" s="21">
        <v>234.29</v>
      </c>
      <c r="G10" s="21">
        <v>-1.81</v>
      </c>
      <c r="H10" s="21">
        <v>13.68</v>
      </c>
    </row>
    <row r="11" ht="14.25" customHeight="1">
      <c r="A11" s="12" t="s">
        <v>247</v>
      </c>
      <c r="B11" s="21">
        <v>74847.54</v>
      </c>
      <c r="C11" s="21">
        <v>77747.0</v>
      </c>
      <c r="D11" s="21">
        <v>81888.09</v>
      </c>
      <c r="E11" s="21">
        <v>84364.22</v>
      </c>
      <c r="F11" s="21">
        <v>91378.85</v>
      </c>
      <c r="G11" s="21">
        <v>111162.48</v>
      </c>
      <c r="H11" s="21">
        <v>139777.31</v>
      </c>
    </row>
    <row r="12" ht="14.25" customHeight="1">
      <c r="A12" s="12" t="s">
        <v>248</v>
      </c>
      <c r="B12" s="21">
        <v>177.46</v>
      </c>
      <c r="C12" s="21">
        <v>788.47</v>
      </c>
      <c r="D12" s="21">
        <v>42.02</v>
      </c>
      <c r="E12" s="21">
        <v>1134.26</v>
      </c>
      <c r="F12" s="21">
        <v>203.86</v>
      </c>
      <c r="G12" s="21">
        <v>1328.18</v>
      </c>
      <c r="H12" s="21">
        <v>1354.52</v>
      </c>
    </row>
    <row r="13" ht="39.75" customHeight="1">
      <c r="A13" s="15" t="s">
        <v>249</v>
      </c>
    </row>
    <row r="14" ht="14.25" customHeight="1"/>
    <row r="15" ht="14.25" customHeight="1">
      <c r="A15" s="17" t="s">
        <v>250</v>
      </c>
    </row>
    <row r="16" ht="14.25" customHeight="1">
      <c r="A16" s="11" t="s">
        <v>242</v>
      </c>
      <c r="B16" s="11" t="s">
        <v>56</v>
      </c>
      <c r="C16" s="11" t="s">
        <v>57</v>
      </c>
      <c r="D16" s="11" t="s">
        <v>58</v>
      </c>
      <c r="E16" s="11" t="s">
        <v>59</v>
      </c>
      <c r="F16" s="11" t="s">
        <v>60</v>
      </c>
      <c r="G16" s="11" t="s">
        <v>61</v>
      </c>
    </row>
    <row r="17" ht="14.25" customHeight="1">
      <c r="A17" s="12" t="s">
        <v>251</v>
      </c>
      <c r="B17" s="21">
        <v>13432.77</v>
      </c>
      <c r="C17" s="21">
        <v>11211.03</v>
      </c>
      <c r="D17" s="21">
        <v>18211.35</v>
      </c>
      <c r="E17" s="21">
        <v>19613.61</v>
      </c>
      <c r="F17" s="21">
        <v>19739.07</v>
      </c>
      <c r="G17" s="21">
        <v>11635.93</v>
      </c>
    </row>
    <row r="18" ht="14.25" customHeight="1">
      <c r="A18" s="12" t="s">
        <v>252</v>
      </c>
      <c r="B18" s="21">
        <v>5887.65</v>
      </c>
      <c r="C18" s="21">
        <v>7748.9</v>
      </c>
      <c r="D18" s="21">
        <v>8196.91</v>
      </c>
      <c r="E18" s="21">
        <v>10175.29</v>
      </c>
      <c r="F18" s="21">
        <v>9876.36</v>
      </c>
      <c r="G18" s="21">
        <v>15027.82</v>
      </c>
    </row>
    <row r="19" ht="14.25" customHeight="1">
      <c r="A19" s="12" t="s">
        <v>253</v>
      </c>
      <c r="B19" s="21">
        <v>16829.85</v>
      </c>
      <c r="C19" s="21">
        <v>27493.17</v>
      </c>
      <c r="D19" s="21">
        <v>34529.36</v>
      </c>
      <c r="E19" s="21">
        <v>36205.82</v>
      </c>
      <c r="F19" s="21">
        <v>39120.52</v>
      </c>
      <c r="G19" s="21">
        <v>41338.59</v>
      </c>
    </row>
    <row r="20" ht="14.25" customHeight="1">
      <c r="A20" s="12" t="s">
        <v>254</v>
      </c>
      <c r="B20" s="21">
        <v>262.16</v>
      </c>
      <c r="C20" s="21">
        <v>317.8</v>
      </c>
      <c r="D20" s="21">
        <v>413.56</v>
      </c>
      <c r="E20" s="21">
        <v>430.62</v>
      </c>
      <c r="F20" s="21">
        <v>431.04</v>
      </c>
      <c r="G20" s="21">
        <v>431.79</v>
      </c>
    </row>
    <row r="21" ht="14.25" customHeight="1">
      <c r="A21" s="12" t="s">
        <v>255</v>
      </c>
      <c r="B21" s="21">
        <v>2709.81</v>
      </c>
      <c r="C21" s="21">
        <v>2632.75</v>
      </c>
      <c r="D21" s="21">
        <v>5092.16</v>
      </c>
      <c r="E21" s="21">
        <v>2569.61</v>
      </c>
      <c r="F21" s="21">
        <v>2878.91</v>
      </c>
      <c r="G21" s="21">
        <v>1137.94</v>
      </c>
    </row>
    <row r="22" ht="14.25" customHeight="1">
      <c r="A22" s="12" t="s">
        <v>256</v>
      </c>
      <c r="B22" s="21">
        <v>1494.25</v>
      </c>
      <c r="C22" s="21">
        <v>1923.57</v>
      </c>
      <c r="D22" s="21">
        <v>1932.01</v>
      </c>
      <c r="E22" s="21">
        <v>2147.1</v>
      </c>
      <c r="F22" s="21">
        <v>2880.68</v>
      </c>
      <c r="G22" s="21">
        <v>4340.93</v>
      </c>
    </row>
    <row r="23" ht="14.25" customHeight="1">
      <c r="A23" s="12" t="s">
        <v>257</v>
      </c>
      <c r="B23" s="21">
        <v>1677.02</v>
      </c>
      <c r="C23" s="21">
        <v>2138.49</v>
      </c>
      <c r="D23" s="21">
        <v>2197.68</v>
      </c>
      <c r="E23" s="21">
        <v>2418.22</v>
      </c>
      <c r="F23" s="21">
        <v>3128.27</v>
      </c>
      <c r="G23" s="21">
        <v>4307.95</v>
      </c>
    </row>
    <row r="24" ht="14.25" customHeight="1">
      <c r="A24" s="12" t="s">
        <v>258</v>
      </c>
      <c r="B24" s="21">
        <v>83.16</v>
      </c>
      <c r="C24" s="21">
        <v>-286.03</v>
      </c>
      <c r="D24" s="21">
        <v>-308.17</v>
      </c>
      <c r="E24" s="21">
        <v>105.38</v>
      </c>
      <c r="F24" s="21">
        <v>112.8</v>
      </c>
      <c r="G24" s="21">
        <v>104.72</v>
      </c>
    </row>
    <row r="25" ht="14.25" customHeight="1">
      <c r="A25" s="12" t="s">
        <v>259</v>
      </c>
      <c r="B25" s="21">
        <v>37717.32</v>
      </c>
      <c r="C25" s="21">
        <v>38201.93</v>
      </c>
      <c r="D25" s="21">
        <v>41201.04</v>
      </c>
      <c r="E25" s="21">
        <v>39315.88</v>
      </c>
      <c r="F25" s="21">
        <v>39708.11</v>
      </c>
      <c r="G25" s="21">
        <v>41697.31</v>
      </c>
    </row>
    <row r="26" ht="14.25" customHeight="1">
      <c r="A26" s="12" t="s">
        <v>260</v>
      </c>
      <c r="B26" s="21">
        <v>22702.98</v>
      </c>
      <c r="C26" s="21">
        <v>27589.28</v>
      </c>
      <c r="D26" s="21">
        <v>29744.49</v>
      </c>
      <c r="E26" s="21">
        <v>40459.25</v>
      </c>
      <c r="F26" s="21">
        <v>51355.61</v>
      </c>
      <c r="G26" s="21">
        <v>56921.28</v>
      </c>
    </row>
    <row r="27" ht="14.25" customHeight="1">
      <c r="A27" s="12" t="s">
        <v>261</v>
      </c>
      <c r="B27" s="21">
        <v>25542.61</v>
      </c>
      <c r="C27" s="21">
        <v>32411.34</v>
      </c>
      <c r="D27" s="21">
        <v>37477.26</v>
      </c>
      <c r="E27" s="21">
        <v>42059.9</v>
      </c>
      <c r="F27" s="21">
        <v>45707.75</v>
      </c>
      <c r="G27" s="21">
        <v>53428.87</v>
      </c>
    </row>
    <row r="28" ht="14.25" customHeight="1">
      <c r="A28" s="12" t="s">
        <v>262</v>
      </c>
      <c r="B28" s="21">
        <v>12875.95</v>
      </c>
      <c r="C28" s="21">
        <v>14682.04</v>
      </c>
      <c r="D28" s="21">
        <v>19926.25</v>
      </c>
      <c r="E28" s="21">
        <v>17718.46</v>
      </c>
      <c r="F28" s="21">
        <v>19939.82</v>
      </c>
      <c r="G28" s="21">
        <v>23124.32</v>
      </c>
    </row>
    <row r="29" ht="39.75" customHeight="1">
      <c r="A29" s="15" t="s">
        <v>263</v>
      </c>
    </row>
    <row r="30" ht="14.25" customHeight="1"/>
    <row r="31" ht="14.25" customHeight="1">
      <c r="A31" s="17" t="s">
        <v>264</v>
      </c>
    </row>
    <row r="32" ht="94.5" customHeight="1">
      <c r="A32" s="18" t="s">
        <v>265</v>
      </c>
    </row>
    <row r="33" ht="14.25" customHeight="1"/>
    <row r="34" ht="14.25" customHeight="1"/>
    <row r="35" ht="14.25" customHeight="1"/>
    <row r="36" ht="14.25" customHeight="1"/>
    <row r="37" ht="14.25" customHeight="1"/>
    <row r="38" ht="14.25" customHeight="1">
      <c r="A38" s="17" t="s">
        <v>266</v>
      </c>
    </row>
    <row r="39" ht="150.0" customHeight="1">
      <c r="A39" s="18" t="s">
        <v>267</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H1"/>
    <mergeCell ref="A2:H2"/>
    <mergeCell ref="A13:H13"/>
    <mergeCell ref="A29:H29"/>
    <mergeCell ref="A32:H36"/>
    <mergeCell ref="A39:H4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30.0"/>
    <col customWidth="1" min="3" max="3" width="14.0"/>
    <col customWidth="1" min="4" max="4" width="50.0"/>
    <col customWidth="1" min="5" max="26" width="8.71"/>
  </cols>
  <sheetData>
    <row r="1" ht="24.0" customHeight="1">
      <c r="A1" s="9" t="s">
        <v>18</v>
      </c>
    </row>
    <row r="2" ht="14.25" customHeight="1">
      <c r="A2" s="10" t="s">
        <v>268</v>
      </c>
    </row>
    <row r="3" ht="6.0" customHeight="1"/>
    <row r="4" ht="14.25" customHeight="1"/>
    <row r="5" ht="14.25" customHeight="1">
      <c r="A5" s="11" t="s">
        <v>107</v>
      </c>
      <c r="B5" s="11" t="s">
        <v>269</v>
      </c>
      <c r="C5" s="11" t="s">
        <v>270</v>
      </c>
      <c r="D5" s="11" t="s">
        <v>271</v>
      </c>
    </row>
    <row r="6" ht="45.0" customHeight="1">
      <c r="A6" s="13" t="s">
        <v>114</v>
      </c>
      <c r="B6" s="13" t="s">
        <v>272</v>
      </c>
      <c r="C6" s="13" t="s">
        <v>273</v>
      </c>
      <c r="D6" s="13" t="s">
        <v>274</v>
      </c>
    </row>
    <row r="7" ht="45.0" customHeight="1">
      <c r="A7" s="13" t="s">
        <v>114</v>
      </c>
      <c r="B7" s="13" t="s">
        <v>275</v>
      </c>
      <c r="C7" s="13" t="s">
        <v>276</v>
      </c>
      <c r="D7" s="13" t="s">
        <v>277</v>
      </c>
    </row>
    <row r="8" ht="45.0" customHeight="1">
      <c r="A8" s="13" t="s">
        <v>114</v>
      </c>
      <c r="B8" s="13" t="s">
        <v>278</v>
      </c>
      <c r="C8" s="13" t="s">
        <v>279</v>
      </c>
      <c r="D8" s="13" t="s">
        <v>280</v>
      </c>
    </row>
    <row r="9" ht="45.0" customHeight="1">
      <c r="A9" s="13" t="s">
        <v>114</v>
      </c>
      <c r="B9" s="13" t="s">
        <v>281</v>
      </c>
      <c r="C9" s="13" t="s">
        <v>282</v>
      </c>
      <c r="D9" s="13" t="s">
        <v>283</v>
      </c>
    </row>
    <row r="10" ht="45.0" customHeight="1">
      <c r="A10" s="13" t="s">
        <v>114</v>
      </c>
      <c r="B10" s="13" t="s">
        <v>284</v>
      </c>
      <c r="C10" s="13" t="s">
        <v>285</v>
      </c>
      <c r="D10" s="13" t="s">
        <v>286</v>
      </c>
    </row>
    <row r="11" ht="45.0" customHeight="1">
      <c r="A11" s="13" t="s">
        <v>114</v>
      </c>
      <c r="B11" s="13" t="s">
        <v>287</v>
      </c>
      <c r="C11" s="13" t="s">
        <v>288</v>
      </c>
      <c r="D11" s="13" t="s">
        <v>289</v>
      </c>
    </row>
    <row r="12" ht="45.0" customHeight="1">
      <c r="A12" s="13" t="s">
        <v>114</v>
      </c>
      <c r="B12" s="13" t="s">
        <v>290</v>
      </c>
      <c r="C12" s="13" t="s">
        <v>285</v>
      </c>
      <c r="D12" s="13" t="s">
        <v>291</v>
      </c>
    </row>
    <row r="13" ht="45.0" customHeight="1">
      <c r="A13" s="13" t="s">
        <v>114</v>
      </c>
      <c r="B13" s="13" t="s">
        <v>292</v>
      </c>
      <c r="C13" s="13" t="s">
        <v>285</v>
      </c>
      <c r="D13" s="13" t="s">
        <v>293</v>
      </c>
    </row>
    <row r="14" ht="45.0" customHeight="1">
      <c r="A14" s="13" t="s">
        <v>114</v>
      </c>
      <c r="B14" s="13" t="s">
        <v>294</v>
      </c>
      <c r="C14" s="13" t="s">
        <v>295</v>
      </c>
      <c r="D14" s="13" t="s">
        <v>296</v>
      </c>
    </row>
    <row r="15" ht="45.0" customHeight="1">
      <c r="A15" s="13" t="s">
        <v>114</v>
      </c>
      <c r="B15" s="13" t="s">
        <v>297</v>
      </c>
      <c r="C15" s="13" t="s">
        <v>298</v>
      </c>
      <c r="D15" s="13" t="s">
        <v>299</v>
      </c>
    </row>
    <row r="16" ht="45.0" customHeight="1">
      <c r="A16" s="13" t="s">
        <v>114</v>
      </c>
      <c r="B16" s="13" t="s">
        <v>300</v>
      </c>
      <c r="C16" s="13" t="s">
        <v>301</v>
      </c>
      <c r="D16" s="13" t="s">
        <v>302</v>
      </c>
    </row>
    <row r="17" ht="45.0" customHeight="1">
      <c r="A17" s="13" t="s">
        <v>114</v>
      </c>
      <c r="B17" s="13" t="s">
        <v>303</v>
      </c>
      <c r="C17" s="13" t="s">
        <v>304</v>
      </c>
      <c r="D17" s="13" t="s">
        <v>305</v>
      </c>
    </row>
    <row r="18" ht="45.0" customHeight="1">
      <c r="A18" s="13" t="s">
        <v>157</v>
      </c>
      <c r="B18" s="13" t="s">
        <v>306</v>
      </c>
      <c r="C18" s="13" t="s">
        <v>307</v>
      </c>
      <c r="D18" s="13" t="s">
        <v>308</v>
      </c>
    </row>
    <row r="19" ht="45.0" customHeight="1">
      <c r="A19" s="13" t="s">
        <v>157</v>
      </c>
      <c r="B19" s="13" t="s">
        <v>309</v>
      </c>
      <c r="C19" s="13" t="s">
        <v>310</v>
      </c>
      <c r="D19" s="13" t="s">
        <v>311</v>
      </c>
    </row>
    <row r="20" ht="45.0" customHeight="1">
      <c r="A20" s="13" t="s">
        <v>157</v>
      </c>
      <c r="B20" s="13" t="s">
        <v>312</v>
      </c>
      <c r="C20" s="13" t="s">
        <v>313</v>
      </c>
      <c r="D20" s="13" t="s">
        <v>314</v>
      </c>
    </row>
    <row r="21" ht="45.0" customHeight="1">
      <c r="A21" s="13" t="s">
        <v>157</v>
      </c>
      <c r="B21" s="13" t="s">
        <v>315</v>
      </c>
      <c r="C21" s="13" t="s">
        <v>316</v>
      </c>
      <c r="D21" s="13" t="s">
        <v>317</v>
      </c>
    </row>
    <row r="22" ht="45.0" customHeight="1">
      <c r="A22" s="13" t="s">
        <v>157</v>
      </c>
      <c r="B22" s="13" t="s">
        <v>318</v>
      </c>
      <c r="C22" s="13" t="s">
        <v>319</v>
      </c>
      <c r="D22" s="13" t="s">
        <v>320</v>
      </c>
    </row>
    <row r="23" ht="45.0" customHeight="1">
      <c r="A23" s="13" t="s">
        <v>157</v>
      </c>
      <c r="B23" s="13" t="s">
        <v>321</v>
      </c>
      <c r="C23" s="13" t="s">
        <v>304</v>
      </c>
      <c r="D23" s="13" t="s">
        <v>322</v>
      </c>
    </row>
    <row r="24" ht="45.0" customHeight="1">
      <c r="A24" s="13" t="s">
        <v>181</v>
      </c>
      <c r="B24" s="13" t="s">
        <v>323</v>
      </c>
      <c r="C24" s="13" t="s">
        <v>324</v>
      </c>
      <c r="D24" s="13" t="s">
        <v>325</v>
      </c>
    </row>
    <row r="25" ht="45.0" customHeight="1">
      <c r="A25" s="13" t="s">
        <v>181</v>
      </c>
      <c r="B25" s="13" t="s">
        <v>326</v>
      </c>
      <c r="C25" s="13" t="s">
        <v>327</v>
      </c>
      <c r="D25" s="13" t="s">
        <v>328</v>
      </c>
    </row>
    <row r="26" ht="45.0" customHeight="1">
      <c r="A26" s="13" t="s">
        <v>181</v>
      </c>
      <c r="B26" s="13" t="s">
        <v>329</v>
      </c>
      <c r="C26" s="13" t="s">
        <v>330</v>
      </c>
      <c r="D26" s="13" t="s">
        <v>331</v>
      </c>
    </row>
    <row r="27" ht="45.0" customHeight="1">
      <c r="A27" s="13" t="s">
        <v>181</v>
      </c>
      <c r="B27" s="13" t="s">
        <v>332</v>
      </c>
      <c r="C27" s="13" t="s">
        <v>333</v>
      </c>
      <c r="D27" s="13" t="s">
        <v>334</v>
      </c>
    </row>
    <row r="28" ht="45.0" customHeight="1">
      <c r="A28" s="13" t="s">
        <v>181</v>
      </c>
      <c r="B28" s="13" t="s">
        <v>335</v>
      </c>
      <c r="C28" s="13" t="s">
        <v>336</v>
      </c>
      <c r="D28" s="13" t="s">
        <v>337</v>
      </c>
    </row>
    <row r="29" ht="45.0" customHeight="1">
      <c r="A29" s="13" t="s">
        <v>181</v>
      </c>
      <c r="B29" s="13" t="s">
        <v>338</v>
      </c>
      <c r="C29" s="13" t="s">
        <v>285</v>
      </c>
      <c r="D29" s="13" t="s">
        <v>339</v>
      </c>
    </row>
    <row r="30" ht="45.0" customHeight="1">
      <c r="A30" s="13" t="s">
        <v>181</v>
      </c>
      <c r="B30" s="13" t="s">
        <v>340</v>
      </c>
      <c r="C30" s="13" t="s">
        <v>304</v>
      </c>
      <c r="D30" s="13" t="s">
        <v>341</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2:D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 t="s">
        <v>86</v>
      </c>
      <c r="B1" s="3" t="s">
        <v>342</v>
      </c>
      <c r="C1" s="3" t="s">
        <v>343</v>
      </c>
      <c r="D1" s="3" t="s">
        <v>344</v>
      </c>
      <c r="E1" s="3" t="s">
        <v>345</v>
      </c>
    </row>
    <row r="2" ht="14.25" customHeight="1">
      <c r="A2" s="3" t="s">
        <v>56</v>
      </c>
      <c r="B2" s="3">
        <v>13432.77</v>
      </c>
      <c r="C2" s="3">
        <v>5887.65</v>
      </c>
      <c r="D2" s="3">
        <v>16829.85</v>
      </c>
      <c r="E2" s="3">
        <v>25870.6</v>
      </c>
    </row>
    <row r="3" ht="14.25" customHeight="1">
      <c r="A3" s="3" t="s">
        <v>57</v>
      </c>
      <c r="B3" s="3">
        <v>11211.03</v>
      </c>
      <c r="C3" s="3">
        <v>7748.9</v>
      </c>
      <c r="D3" s="3">
        <v>27493.17</v>
      </c>
      <c r="E3" s="3">
        <v>27221.78</v>
      </c>
    </row>
    <row r="4" ht="14.25" customHeight="1">
      <c r="A4" s="3" t="s">
        <v>58</v>
      </c>
      <c r="B4" s="3">
        <v>18211.35</v>
      </c>
      <c r="C4" s="3">
        <v>8196.91</v>
      </c>
      <c r="D4" s="3">
        <v>34529.36</v>
      </c>
      <c r="E4" s="3">
        <v>37895.85</v>
      </c>
    </row>
    <row r="5" ht="14.25" customHeight="1">
      <c r="A5" s="3" t="s">
        <v>59</v>
      </c>
      <c r="B5" s="3">
        <v>19613.61</v>
      </c>
      <c r="C5" s="3">
        <v>10175.29</v>
      </c>
      <c r="D5" s="3">
        <v>36205.82</v>
      </c>
      <c r="E5" s="3">
        <v>50014.16</v>
      </c>
    </row>
    <row r="6" ht="14.25" customHeight="1">
      <c r="A6" s="3" t="s">
        <v>60</v>
      </c>
      <c r="B6" s="3">
        <v>19739.07</v>
      </c>
      <c r="C6" s="3">
        <v>9876.36</v>
      </c>
      <c r="D6" s="3">
        <v>39120.52</v>
      </c>
      <c r="E6" s="3">
        <v>56107.06</v>
      </c>
    </row>
    <row r="7" ht="14.25" customHeight="1">
      <c r="A7" s="3" t="s">
        <v>61</v>
      </c>
      <c r="B7" s="3">
        <v>11635.93</v>
      </c>
      <c r="C7" s="3">
        <v>15027.82</v>
      </c>
      <c r="D7" s="3">
        <v>41338.59</v>
      </c>
      <c r="E7" s="3">
        <v>54240.52</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30.0"/>
    <col customWidth="1" min="3" max="3" width="14.0"/>
    <col customWidth="1" min="4" max="4" width="50.0"/>
    <col customWidth="1" min="5" max="26" width="8.71"/>
  </cols>
  <sheetData>
    <row r="1" ht="24.0" customHeight="1">
      <c r="A1" s="9" t="s">
        <v>19</v>
      </c>
    </row>
    <row r="2" ht="14.25" customHeight="1">
      <c r="A2" s="10"/>
    </row>
    <row r="3" ht="6.0" customHeight="1"/>
    <row r="4" ht="14.25" customHeight="1"/>
    <row r="5" ht="14.25" customHeight="1">
      <c r="A5" s="11" t="s">
        <v>107</v>
      </c>
      <c r="B5" s="11" t="s">
        <v>346</v>
      </c>
      <c r="C5" s="11" t="s">
        <v>347</v>
      </c>
      <c r="D5" s="11" t="s">
        <v>203</v>
      </c>
    </row>
    <row r="6" ht="45.0" customHeight="1">
      <c r="A6" s="13" t="s">
        <v>114</v>
      </c>
      <c r="B6" s="13" t="s">
        <v>348</v>
      </c>
      <c r="C6" s="13" t="s">
        <v>349</v>
      </c>
      <c r="D6" s="13" t="s">
        <v>350</v>
      </c>
    </row>
    <row r="7" ht="45.0" customHeight="1">
      <c r="A7" s="13" t="s">
        <v>114</v>
      </c>
      <c r="B7" s="13" t="s">
        <v>351</v>
      </c>
      <c r="C7" s="13" t="s">
        <v>352</v>
      </c>
      <c r="D7" s="13" t="s">
        <v>353</v>
      </c>
    </row>
    <row r="8" ht="45.0" customHeight="1">
      <c r="A8" s="13" t="s">
        <v>114</v>
      </c>
      <c r="B8" s="13" t="s">
        <v>354</v>
      </c>
      <c r="C8" s="13" t="s">
        <v>355</v>
      </c>
      <c r="D8" s="13" t="s">
        <v>356</v>
      </c>
    </row>
    <row r="9" ht="45.0" customHeight="1">
      <c r="A9" s="13" t="s">
        <v>157</v>
      </c>
      <c r="B9" s="13" t="s">
        <v>357</v>
      </c>
      <c r="C9" s="13" t="s">
        <v>358</v>
      </c>
      <c r="D9" s="13" t="s">
        <v>359</v>
      </c>
    </row>
    <row r="10" ht="45.0" customHeight="1">
      <c r="A10" s="13" t="s">
        <v>157</v>
      </c>
      <c r="B10" s="13" t="s">
        <v>360</v>
      </c>
      <c r="C10" s="13" t="s">
        <v>361</v>
      </c>
      <c r="D10" s="13" t="s">
        <v>362</v>
      </c>
    </row>
    <row r="11" ht="45.0" customHeight="1">
      <c r="A11" s="13" t="s">
        <v>181</v>
      </c>
      <c r="B11" s="13" t="s">
        <v>363</v>
      </c>
      <c r="C11" s="13" t="s">
        <v>364</v>
      </c>
      <c r="D11" s="13" t="s">
        <v>365</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2:D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60.0"/>
    <col customWidth="1" min="3" max="3" width="20.0"/>
    <col customWidth="1" min="4" max="26" width="8.71"/>
  </cols>
  <sheetData>
    <row r="1" ht="24.0" customHeight="1">
      <c r="A1" s="9" t="s">
        <v>366</v>
      </c>
    </row>
    <row r="2" ht="14.25" customHeight="1">
      <c r="A2" s="10"/>
    </row>
    <row r="3" ht="6.0" customHeight="1"/>
    <row r="4" ht="14.25" customHeight="1"/>
    <row r="5" ht="14.25" customHeight="1">
      <c r="A5" s="11" t="s">
        <v>107</v>
      </c>
      <c r="B5" s="11" t="s">
        <v>367</v>
      </c>
      <c r="C5" s="11" t="s">
        <v>368</v>
      </c>
    </row>
    <row r="6" ht="69.75" customHeight="1">
      <c r="A6" s="13" t="s">
        <v>114</v>
      </c>
      <c r="B6" s="13" t="s">
        <v>369</v>
      </c>
      <c r="C6" s="13" t="s">
        <v>370</v>
      </c>
    </row>
    <row r="7" ht="69.75" customHeight="1">
      <c r="A7" s="13" t="s">
        <v>157</v>
      </c>
      <c r="B7" s="13" t="s">
        <v>371</v>
      </c>
      <c r="C7" s="13" t="s">
        <v>372</v>
      </c>
    </row>
    <row r="8" ht="69.75" customHeight="1">
      <c r="A8" s="13" t="s">
        <v>181</v>
      </c>
      <c r="B8" s="13" t="s">
        <v>373</v>
      </c>
      <c r="C8" s="13" t="s">
        <v>370</v>
      </c>
    </row>
    <row r="9" ht="14.25" customHeight="1"/>
    <row r="10" ht="14.25" customHeight="1">
      <c r="A10" s="22" t="s">
        <v>374</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C1"/>
    <mergeCell ref="A2:C2"/>
    <mergeCell ref="A10:C10"/>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16.0"/>
    <col customWidth="1" min="3" max="3" width="55.0"/>
    <col customWidth="1" min="4" max="4" width="20.0"/>
    <col customWidth="1" min="5" max="26" width="8.71"/>
  </cols>
  <sheetData>
    <row r="1" ht="24.0" customHeight="1">
      <c r="A1" s="9" t="s">
        <v>375</v>
      </c>
    </row>
    <row r="2" ht="14.25" customHeight="1">
      <c r="A2" s="10"/>
    </row>
    <row r="3" ht="6.0" customHeight="1"/>
    <row r="4" ht="14.25" customHeight="1"/>
    <row r="5" ht="14.25" customHeight="1">
      <c r="A5" s="11" t="s">
        <v>107</v>
      </c>
      <c r="B5" s="11" t="s">
        <v>108</v>
      </c>
      <c r="C5" s="11" t="s">
        <v>376</v>
      </c>
      <c r="D5" s="11" t="s">
        <v>377</v>
      </c>
    </row>
    <row r="6" ht="54.75" customHeight="1">
      <c r="A6" s="13" t="s">
        <v>114</v>
      </c>
      <c r="B6" s="13" t="s">
        <v>378</v>
      </c>
      <c r="C6" s="13" t="s">
        <v>379</v>
      </c>
      <c r="D6" s="13" t="s">
        <v>304</v>
      </c>
    </row>
    <row r="7" ht="54.75" customHeight="1">
      <c r="A7" s="13" t="s">
        <v>114</v>
      </c>
      <c r="B7" s="13" t="s">
        <v>380</v>
      </c>
      <c r="C7" s="13" t="s">
        <v>381</v>
      </c>
      <c r="D7" s="13" t="s">
        <v>382</v>
      </c>
    </row>
    <row r="8" ht="54.75" customHeight="1">
      <c r="A8" s="13" t="s">
        <v>114</v>
      </c>
      <c r="B8" s="13" t="s">
        <v>383</v>
      </c>
      <c r="C8" s="13" t="s">
        <v>384</v>
      </c>
      <c r="D8" s="13" t="s">
        <v>385</v>
      </c>
    </row>
    <row r="9" ht="54.75" customHeight="1">
      <c r="A9" s="13" t="s">
        <v>114</v>
      </c>
      <c r="B9" s="13" t="s">
        <v>386</v>
      </c>
      <c r="C9" s="13" t="s">
        <v>387</v>
      </c>
      <c r="D9" s="13" t="s">
        <v>388</v>
      </c>
    </row>
    <row r="10" ht="54.75" customHeight="1">
      <c r="A10" s="13" t="s">
        <v>114</v>
      </c>
      <c r="B10" s="13" t="s">
        <v>389</v>
      </c>
      <c r="C10" s="13" t="s">
        <v>390</v>
      </c>
      <c r="D10" s="13" t="s">
        <v>304</v>
      </c>
    </row>
    <row r="11" ht="54.75" customHeight="1">
      <c r="A11" s="13" t="s">
        <v>157</v>
      </c>
      <c r="B11" s="13" t="s">
        <v>391</v>
      </c>
      <c r="C11" s="13" t="s">
        <v>392</v>
      </c>
      <c r="D11" s="13" t="s">
        <v>393</v>
      </c>
    </row>
    <row r="12" ht="54.75" customHeight="1">
      <c r="A12" s="13" t="s">
        <v>157</v>
      </c>
      <c r="B12" s="13" t="s">
        <v>394</v>
      </c>
      <c r="C12" s="13" t="s">
        <v>395</v>
      </c>
      <c r="D12" s="13" t="s">
        <v>304</v>
      </c>
    </row>
    <row r="13" ht="54.75" customHeight="1">
      <c r="A13" s="13" t="s">
        <v>157</v>
      </c>
      <c r="B13" s="13" t="s">
        <v>383</v>
      </c>
      <c r="C13" s="13" t="s">
        <v>396</v>
      </c>
      <c r="D13" s="13" t="s">
        <v>304</v>
      </c>
    </row>
    <row r="14" ht="54.75" customHeight="1">
      <c r="A14" s="13" t="s">
        <v>181</v>
      </c>
      <c r="B14" s="13" t="s">
        <v>397</v>
      </c>
      <c r="C14" s="13" t="s">
        <v>398</v>
      </c>
      <c r="D14" s="13" t="s">
        <v>399</v>
      </c>
    </row>
    <row r="15" ht="54.75" customHeight="1">
      <c r="A15" s="13" t="s">
        <v>181</v>
      </c>
      <c r="B15" s="13" t="s">
        <v>400</v>
      </c>
      <c r="C15" s="13" t="s">
        <v>401</v>
      </c>
      <c r="D15" s="13" t="s">
        <v>402</v>
      </c>
    </row>
    <row r="16" ht="54.75" customHeight="1">
      <c r="A16" s="13" t="s">
        <v>181</v>
      </c>
      <c r="B16" s="13" t="s">
        <v>403</v>
      </c>
      <c r="C16" s="13" t="s">
        <v>404</v>
      </c>
      <c r="D16" s="13" t="s">
        <v>405</v>
      </c>
    </row>
    <row r="17" ht="54.75" customHeight="1">
      <c r="A17" s="13" t="s">
        <v>181</v>
      </c>
      <c r="B17" s="13" t="s">
        <v>406</v>
      </c>
      <c r="C17" s="13" t="s">
        <v>407</v>
      </c>
      <c r="D17" s="13" t="s">
        <v>408</v>
      </c>
    </row>
    <row r="18" ht="54.75" customHeight="1">
      <c r="A18" s="13" t="s">
        <v>181</v>
      </c>
      <c r="B18" s="13" t="s">
        <v>409</v>
      </c>
      <c r="C18" s="13" t="s">
        <v>410</v>
      </c>
      <c r="D18" s="13" t="s">
        <v>304</v>
      </c>
    </row>
    <row r="19" ht="14.25" customHeight="1"/>
    <row r="20" ht="14.25" customHeight="1">
      <c r="A20" s="17" t="s">
        <v>84</v>
      </c>
    </row>
    <row r="21" ht="99.75" customHeight="1">
      <c r="A21" s="18" t="s">
        <v>411</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D1"/>
    <mergeCell ref="A2:D2"/>
    <mergeCell ref="A21:D27"/>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0.0"/>
    <col customWidth="1" min="2" max="6" width="16.0"/>
    <col customWidth="1" min="7" max="26" width="8.71"/>
  </cols>
  <sheetData>
    <row r="1" ht="24.0" customHeight="1">
      <c r="A1" s="9" t="s">
        <v>412</v>
      </c>
    </row>
    <row r="2" ht="14.25" customHeight="1">
      <c r="A2" s="10" t="s">
        <v>413</v>
      </c>
    </row>
    <row r="3" ht="6.0" customHeight="1"/>
    <row r="4" ht="14.25" customHeight="1"/>
    <row r="5" ht="14.25" customHeight="1">
      <c r="A5" s="11" t="s">
        <v>202</v>
      </c>
      <c r="B5" s="11" t="s">
        <v>114</v>
      </c>
      <c r="C5" s="11" t="s">
        <v>157</v>
      </c>
      <c r="D5" s="11" t="s">
        <v>181</v>
      </c>
      <c r="E5" s="11" t="s">
        <v>414</v>
      </c>
      <c r="F5" s="11" t="s">
        <v>415</v>
      </c>
    </row>
    <row r="6" ht="25.5" customHeight="1">
      <c r="A6" s="13" t="s">
        <v>416</v>
      </c>
      <c r="B6" s="13" t="s">
        <v>417</v>
      </c>
      <c r="C6" s="13" t="s">
        <v>418</v>
      </c>
      <c r="D6" s="13" t="s">
        <v>419</v>
      </c>
      <c r="E6" s="13" t="s">
        <v>420</v>
      </c>
      <c r="F6" s="13" t="s">
        <v>421</v>
      </c>
    </row>
    <row r="7" ht="25.5" customHeight="1">
      <c r="A7" s="13" t="s">
        <v>422</v>
      </c>
      <c r="B7" s="13" t="s">
        <v>423</v>
      </c>
      <c r="C7" s="13" t="s">
        <v>424</v>
      </c>
      <c r="D7" s="13" t="s">
        <v>425</v>
      </c>
      <c r="E7" s="13" t="s">
        <v>426</v>
      </c>
      <c r="F7" s="13" t="s">
        <v>427</v>
      </c>
    </row>
    <row r="8" ht="25.5" customHeight="1">
      <c r="A8" s="13" t="s">
        <v>428</v>
      </c>
      <c r="B8" s="13" t="s">
        <v>429</v>
      </c>
      <c r="C8" s="13" t="s">
        <v>430</v>
      </c>
      <c r="D8" s="13" t="s">
        <v>431</v>
      </c>
      <c r="E8" s="13" t="s">
        <v>432</v>
      </c>
      <c r="F8" s="13" t="s">
        <v>433</v>
      </c>
    </row>
    <row r="9" ht="25.5" customHeight="1">
      <c r="A9" s="13" t="s">
        <v>434</v>
      </c>
      <c r="B9" s="13" t="s">
        <v>435</v>
      </c>
      <c r="C9" s="13" t="s">
        <v>436</v>
      </c>
      <c r="D9" s="13" t="s">
        <v>437</v>
      </c>
      <c r="E9" s="13" t="s">
        <v>438</v>
      </c>
      <c r="F9" s="13" t="s">
        <v>439</v>
      </c>
    </row>
    <row r="10" ht="25.5" customHeight="1">
      <c r="A10" s="13" t="s">
        <v>440</v>
      </c>
      <c r="B10" s="13" t="s">
        <v>441</v>
      </c>
      <c r="C10" s="13" t="s">
        <v>442</v>
      </c>
      <c r="D10" s="13" t="s">
        <v>443</v>
      </c>
      <c r="E10" s="13" t="s">
        <v>444</v>
      </c>
      <c r="F10" s="13" t="s">
        <v>445</v>
      </c>
    </row>
    <row r="11" ht="25.5" customHeight="1">
      <c r="A11" s="13" t="s">
        <v>446</v>
      </c>
      <c r="B11" s="13" t="s">
        <v>447</v>
      </c>
      <c r="C11" s="13" t="s">
        <v>448</v>
      </c>
      <c r="D11" s="13" t="s">
        <v>449</v>
      </c>
      <c r="E11" s="13" t="s">
        <v>450</v>
      </c>
      <c r="F11" s="13" t="s">
        <v>451</v>
      </c>
    </row>
    <row r="12" ht="25.5" customHeight="1">
      <c r="A12" s="13" t="s">
        <v>452</v>
      </c>
      <c r="B12" s="13" t="s">
        <v>453</v>
      </c>
      <c r="C12" s="13" t="s">
        <v>454</v>
      </c>
      <c r="D12" s="13" t="s">
        <v>455</v>
      </c>
      <c r="E12" s="13" t="s">
        <v>456</v>
      </c>
      <c r="F12" s="13" t="s">
        <v>457</v>
      </c>
    </row>
    <row r="13" ht="25.5" customHeight="1">
      <c r="A13" s="13" t="s">
        <v>458</v>
      </c>
      <c r="B13" s="13" t="s">
        <v>459</v>
      </c>
      <c r="C13" s="13" t="s">
        <v>456</v>
      </c>
      <c r="D13" s="13" t="s">
        <v>460</v>
      </c>
      <c r="E13" s="13" t="s">
        <v>457</v>
      </c>
      <c r="F13" s="13" t="s">
        <v>461</v>
      </c>
    </row>
    <row r="14" ht="25.5" customHeight="1">
      <c r="A14" s="13" t="s">
        <v>462</v>
      </c>
      <c r="B14" s="13" t="s">
        <v>463</v>
      </c>
      <c r="C14" s="13" t="s">
        <v>464</v>
      </c>
      <c r="D14" s="13" t="s">
        <v>465</v>
      </c>
      <c r="E14" s="13" t="s">
        <v>466</v>
      </c>
      <c r="F14" s="13" t="s">
        <v>304</v>
      </c>
    </row>
    <row r="15" ht="25.5" customHeight="1">
      <c r="A15" s="13" t="s">
        <v>467</v>
      </c>
      <c r="B15" s="13" t="s">
        <v>468</v>
      </c>
      <c r="C15" s="13" t="s">
        <v>469</v>
      </c>
      <c r="D15" s="13" t="s">
        <v>470</v>
      </c>
      <c r="E15" s="13" t="s">
        <v>304</v>
      </c>
      <c r="F15" s="13" t="s">
        <v>304</v>
      </c>
    </row>
    <row r="16" ht="14.25" customHeight="1"/>
    <row r="17" ht="14.25" customHeight="1">
      <c r="A17" s="23" t="s">
        <v>471</v>
      </c>
    </row>
    <row r="18" ht="60.0" customHeight="1">
      <c r="A18" s="18" t="s">
        <v>472</v>
      </c>
    </row>
    <row r="19" ht="14.25" customHeight="1"/>
    <row r="20" ht="14.25" customHeight="1"/>
    <row r="21" ht="14.25" customHeight="1"/>
    <row r="22" ht="14.25" customHeight="1">
      <c r="A22" s="17" t="s">
        <v>473</v>
      </c>
    </row>
    <row r="23" ht="129.75" customHeight="1">
      <c r="A23" s="18" t="s">
        <v>474</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18:F20"/>
    <mergeCell ref="A23:F30"/>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14" width="14.0"/>
    <col customWidth="1" min="15" max="26" width="8.71"/>
  </cols>
  <sheetData>
    <row r="1" ht="14.25" customHeight="1">
      <c r="A1" s="3" t="s">
        <v>475</v>
      </c>
      <c r="B1" s="3" t="s">
        <v>476</v>
      </c>
      <c r="C1" s="3" t="s">
        <v>477</v>
      </c>
      <c r="D1" s="3" t="s">
        <v>478</v>
      </c>
      <c r="E1" s="3" t="s">
        <v>479</v>
      </c>
      <c r="F1" s="3" t="s">
        <v>480</v>
      </c>
      <c r="G1" s="3" t="s">
        <v>481</v>
      </c>
      <c r="H1" s="3" t="s">
        <v>482</v>
      </c>
      <c r="I1" s="3" t="s">
        <v>483</v>
      </c>
      <c r="J1" s="3" t="s">
        <v>484</v>
      </c>
      <c r="K1" s="3" t="s">
        <v>485</v>
      </c>
      <c r="L1" s="3" t="s">
        <v>486</v>
      </c>
      <c r="M1" s="3" t="s">
        <v>487</v>
      </c>
      <c r="N1" s="3" t="s">
        <v>488</v>
      </c>
    </row>
    <row r="2" ht="14.25" customHeight="1">
      <c r="A2" s="3" t="s">
        <v>489</v>
      </c>
      <c r="B2" s="3">
        <v>118.93</v>
      </c>
      <c r="C2" s="3">
        <v>405.39</v>
      </c>
      <c r="D2" s="3">
        <v>1349.89</v>
      </c>
      <c r="E2" s="3">
        <v>36231.65</v>
      </c>
      <c r="F2" s="3">
        <v>24968.4</v>
      </c>
      <c r="K2" s="3">
        <v>100.0</v>
      </c>
      <c r="L2" s="3">
        <v>100.0</v>
      </c>
      <c r="M2" s="3">
        <v>100.0</v>
      </c>
      <c r="N2" s="3">
        <v>100.0</v>
      </c>
    </row>
    <row r="3" ht="14.25" customHeight="1">
      <c r="A3" s="3" t="s">
        <v>490</v>
      </c>
      <c r="B3" s="3">
        <v>114.0</v>
      </c>
      <c r="C3" s="3">
        <v>392.92</v>
      </c>
      <c r="D3" s="3">
        <v>1307.38</v>
      </c>
      <c r="E3" s="3">
        <v>35250.5</v>
      </c>
      <c r="F3" s="3">
        <v>24837.0</v>
      </c>
      <c r="G3" s="3">
        <v>-0.041453</v>
      </c>
      <c r="H3" s="3">
        <v>-0.030761</v>
      </c>
      <c r="I3" s="3">
        <v>-0.031491</v>
      </c>
      <c r="J3" s="3">
        <v>-0.02708</v>
      </c>
      <c r="K3" s="3">
        <v>95.85</v>
      </c>
      <c r="L3" s="3">
        <v>96.92</v>
      </c>
      <c r="M3" s="3">
        <v>96.85</v>
      </c>
      <c r="N3" s="3">
        <v>97.29</v>
      </c>
    </row>
    <row r="4" ht="14.25" customHeight="1">
      <c r="A4" s="3" t="s">
        <v>491</v>
      </c>
      <c r="B4" s="3">
        <v>113.4</v>
      </c>
      <c r="C4" s="3">
        <v>386.9</v>
      </c>
      <c r="D4" s="3">
        <v>1270.59</v>
      </c>
      <c r="E4" s="3">
        <v>34889.0</v>
      </c>
      <c r="F4" s="3">
        <v>24565.35</v>
      </c>
      <c r="G4" s="3">
        <v>-0.005263</v>
      </c>
      <c r="H4" s="3">
        <v>-0.015321</v>
      </c>
      <c r="I4" s="3">
        <v>-0.02814</v>
      </c>
      <c r="J4" s="3">
        <v>-0.010255</v>
      </c>
      <c r="K4" s="3">
        <v>95.35</v>
      </c>
      <c r="L4" s="3">
        <v>95.44</v>
      </c>
      <c r="M4" s="3">
        <v>94.13</v>
      </c>
      <c r="N4" s="3">
        <v>96.29</v>
      </c>
    </row>
    <row r="5" ht="14.25" customHeight="1">
      <c r="A5" s="3" t="s">
        <v>492</v>
      </c>
      <c r="B5" s="3">
        <v>115.38</v>
      </c>
      <c r="C5" s="3">
        <v>376.47</v>
      </c>
      <c r="D5" s="3">
        <v>1317.54</v>
      </c>
      <c r="E5" s="3">
        <v>34391.95</v>
      </c>
      <c r="F5" s="3">
        <v>24363.3</v>
      </c>
      <c r="G5" s="3">
        <v>0.01746</v>
      </c>
      <c r="H5" s="3">
        <v>-0.026958</v>
      </c>
      <c r="I5" s="3">
        <v>0.036951</v>
      </c>
      <c r="J5" s="3">
        <v>-0.014247</v>
      </c>
      <c r="K5" s="3">
        <v>97.02</v>
      </c>
      <c r="L5" s="3">
        <v>92.87</v>
      </c>
      <c r="M5" s="3">
        <v>97.6</v>
      </c>
      <c r="N5" s="3">
        <v>94.92</v>
      </c>
    </row>
    <row r="6" ht="14.25" customHeight="1">
      <c r="A6" s="3" t="s">
        <v>493</v>
      </c>
      <c r="B6" s="3">
        <v>116.81</v>
      </c>
      <c r="C6" s="3">
        <v>382.93</v>
      </c>
      <c r="D6" s="3">
        <v>1311.42</v>
      </c>
      <c r="E6" s="3">
        <v>34469.05</v>
      </c>
      <c r="F6" s="3">
        <v>24631.3</v>
      </c>
      <c r="G6" s="3">
        <v>0.012394</v>
      </c>
      <c r="H6" s="3">
        <v>0.017159</v>
      </c>
      <c r="I6" s="3">
        <v>-0.004645</v>
      </c>
      <c r="J6" s="3">
        <v>0.002242</v>
      </c>
      <c r="K6" s="3">
        <v>98.22</v>
      </c>
      <c r="L6" s="3">
        <v>94.46</v>
      </c>
      <c r="M6" s="3">
        <v>97.15</v>
      </c>
      <c r="N6" s="3">
        <v>95.14</v>
      </c>
    </row>
    <row r="7" ht="14.25" customHeight="1">
      <c r="A7" s="3" t="s">
        <v>494</v>
      </c>
      <c r="B7" s="3">
        <v>118.86</v>
      </c>
      <c r="C7" s="3">
        <v>383.23</v>
      </c>
      <c r="D7" s="3">
        <v>1264.47</v>
      </c>
      <c r="E7" s="3">
        <v>34507.6</v>
      </c>
      <c r="F7" s="3">
        <v>24870.1</v>
      </c>
      <c r="G7" s="3">
        <v>0.01755</v>
      </c>
      <c r="H7" s="3">
        <v>7.83E-4</v>
      </c>
      <c r="I7" s="3">
        <v>-0.035801</v>
      </c>
      <c r="J7" s="3">
        <v>0.001118</v>
      </c>
      <c r="K7" s="3">
        <v>99.94</v>
      </c>
      <c r="L7" s="3">
        <v>94.53</v>
      </c>
      <c r="M7" s="3">
        <v>93.67</v>
      </c>
      <c r="N7" s="3">
        <v>95.24</v>
      </c>
    </row>
    <row r="8" ht="14.25" customHeight="1">
      <c r="A8" s="3" t="s">
        <v>495</v>
      </c>
      <c r="B8" s="3">
        <v>120.13</v>
      </c>
      <c r="C8" s="3">
        <v>371.85</v>
      </c>
      <c r="D8" s="3">
        <v>1210.52</v>
      </c>
      <c r="E8" s="3">
        <v>33638.65</v>
      </c>
      <c r="F8" s="3">
        <v>24426.85</v>
      </c>
      <c r="G8" s="3">
        <v>0.010685</v>
      </c>
      <c r="H8" s="3">
        <v>-0.029695</v>
      </c>
      <c r="I8" s="3">
        <v>-0.042666</v>
      </c>
      <c r="J8" s="3">
        <v>-0.025181</v>
      </c>
      <c r="K8" s="3">
        <v>101.01</v>
      </c>
      <c r="L8" s="3">
        <v>91.73</v>
      </c>
      <c r="M8" s="3">
        <v>89.68</v>
      </c>
      <c r="N8" s="3">
        <v>92.84</v>
      </c>
    </row>
    <row r="9" ht="14.25" customHeight="1">
      <c r="A9" s="3" t="s">
        <v>496</v>
      </c>
      <c r="B9" s="3">
        <v>121.94</v>
      </c>
      <c r="C9" s="3">
        <v>383.42</v>
      </c>
      <c r="D9" s="3">
        <v>1245.63</v>
      </c>
      <c r="E9" s="3">
        <v>34297.9</v>
      </c>
      <c r="F9" s="3">
        <v>24741.0</v>
      </c>
      <c r="G9" s="3">
        <v>0.015067</v>
      </c>
      <c r="H9" s="3">
        <v>0.031115</v>
      </c>
      <c r="I9" s="3">
        <v>0.029004</v>
      </c>
      <c r="J9" s="3">
        <v>0.019598</v>
      </c>
      <c r="K9" s="3">
        <v>102.53</v>
      </c>
      <c r="L9" s="3">
        <v>94.58</v>
      </c>
      <c r="M9" s="3">
        <v>92.28</v>
      </c>
      <c r="N9" s="3">
        <v>94.66</v>
      </c>
    </row>
    <row r="10" ht="14.25" customHeight="1">
      <c r="A10" s="3" t="s">
        <v>497</v>
      </c>
      <c r="B10" s="3">
        <v>129.71</v>
      </c>
      <c r="C10" s="3">
        <v>383.87</v>
      </c>
      <c r="D10" s="3">
        <v>1250.47</v>
      </c>
      <c r="E10" s="3">
        <v>34940.3</v>
      </c>
      <c r="F10" s="3">
        <v>25114.0</v>
      </c>
      <c r="G10" s="3">
        <v>0.06372</v>
      </c>
      <c r="H10" s="3">
        <v>0.001174</v>
      </c>
      <c r="I10" s="3">
        <v>0.003886</v>
      </c>
      <c r="J10" s="3">
        <v>0.01873</v>
      </c>
      <c r="K10" s="3">
        <v>109.06</v>
      </c>
      <c r="L10" s="3">
        <v>94.69</v>
      </c>
      <c r="M10" s="3">
        <v>92.63</v>
      </c>
      <c r="N10" s="3">
        <v>96.44</v>
      </c>
    </row>
    <row r="11" ht="14.25" customHeight="1">
      <c r="A11" s="3" t="s">
        <v>498</v>
      </c>
      <c r="B11" s="3">
        <v>141.88</v>
      </c>
      <c r="C11" s="3">
        <v>393.86</v>
      </c>
      <c r="D11" s="3">
        <v>1247.21</v>
      </c>
      <c r="E11" s="3">
        <v>35745.75</v>
      </c>
      <c r="F11" s="3">
        <v>25327.05</v>
      </c>
      <c r="G11" s="3">
        <v>0.093825</v>
      </c>
      <c r="H11" s="3">
        <v>0.026024</v>
      </c>
      <c r="I11" s="3">
        <v>-0.002607</v>
      </c>
      <c r="J11" s="3">
        <v>0.023052</v>
      </c>
      <c r="K11" s="3">
        <v>119.3</v>
      </c>
      <c r="L11" s="3">
        <v>97.16</v>
      </c>
      <c r="M11" s="3">
        <v>92.39</v>
      </c>
      <c r="N11" s="3">
        <v>98.66</v>
      </c>
    </row>
    <row r="12" ht="14.25" customHeight="1">
      <c r="A12" s="3" t="s">
        <v>499</v>
      </c>
      <c r="B12" s="3">
        <v>146.25</v>
      </c>
      <c r="C12" s="3">
        <v>381.44</v>
      </c>
      <c r="D12" s="3">
        <v>1216.44</v>
      </c>
      <c r="E12" s="3">
        <v>34830.0</v>
      </c>
      <c r="F12" s="3">
        <v>24654.7</v>
      </c>
      <c r="G12" s="3">
        <v>0.030801</v>
      </c>
      <c r="H12" s="3">
        <v>-0.031534</v>
      </c>
      <c r="I12" s="3">
        <v>-0.024671</v>
      </c>
      <c r="J12" s="3">
        <v>-0.025618</v>
      </c>
      <c r="K12" s="3">
        <v>122.97</v>
      </c>
      <c r="L12" s="3">
        <v>94.09</v>
      </c>
      <c r="M12" s="3">
        <v>90.11</v>
      </c>
      <c r="N12" s="3">
        <v>96.13</v>
      </c>
    </row>
    <row r="13" ht="14.25" customHeight="1">
      <c r="A13" s="3" t="s">
        <v>500</v>
      </c>
      <c r="B13" s="3">
        <v>147.38</v>
      </c>
      <c r="C13" s="3">
        <v>392.47</v>
      </c>
      <c r="D13" s="3">
        <v>1204.41</v>
      </c>
      <c r="E13" s="3">
        <v>35375.9</v>
      </c>
      <c r="F13" s="3">
        <v>24894.25</v>
      </c>
      <c r="G13" s="3">
        <v>0.007726</v>
      </c>
      <c r="H13" s="3">
        <v>0.028917</v>
      </c>
      <c r="I13" s="3">
        <v>-0.00989</v>
      </c>
      <c r="J13" s="3">
        <v>0.015673</v>
      </c>
      <c r="K13" s="3">
        <v>123.92</v>
      </c>
      <c r="L13" s="3">
        <v>96.81</v>
      </c>
      <c r="M13" s="3">
        <v>89.22</v>
      </c>
      <c r="N13" s="3">
        <v>97.64</v>
      </c>
    </row>
    <row r="14" ht="14.25" customHeight="1">
      <c r="A14" s="3" t="s">
        <v>501</v>
      </c>
      <c r="B14" s="3">
        <v>149.7</v>
      </c>
      <c r="C14" s="3">
        <v>387.7</v>
      </c>
      <c r="D14" s="3">
        <v>1222.36</v>
      </c>
      <c r="E14" s="3">
        <v>35393.95</v>
      </c>
      <c r="F14" s="3">
        <v>25285.35</v>
      </c>
      <c r="G14" s="3">
        <v>0.015742</v>
      </c>
      <c r="H14" s="3">
        <v>-0.012154</v>
      </c>
      <c r="I14" s="3">
        <v>0.014904</v>
      </c>
      <c r="J14" s="3">
        <v>5.1E-4</v>
      </c>
      <c r="K14" s="3">
        <v>125.87</v>
      </c>
      <c r="L14" s="3">
        <v>95.64</v>
      </c>
      <c r="M14" s="3">
        <v>90.55</v>
      </c>
      <c r="N14" s="3">
        <v>97.69</v>
      </c>
    </row>
    <row r="15" ht="14.25" customHeight="1">
      <c r="A15" s="3" t="s">
        <v>502</v>
      </c>
      <c r="B15" s="3">
        <v>165.98</v>
      </c>
      <c r="C15" s="3">
        <v>395.35</v>
      </c>
      <c r="D15" s="3">
        <v>1293.87</v>
      </c>
      <c r="E15" s="3">
        <v>35395.7</v>
      </c>
      <c r="F15" s="3">
        <v>25709.85</v>
      </c>
      <c r="G15" s="3">
        <v>0.108751</v>
      </c>
      <c r="H15" s="3">
        <v>0.019732</v>
      </c>
      <c r="I15" s="3">
        <v>0.058502</v>
      </c>
      <c r="J15" s="3">
        <v>4.9E-5</v>
      </c>
      <c r="K15" s="3">
        <v>139.56</v>
      </c>
      <c r="L15" s="3">
        <v>97.52</v>
      </c>
      <c r="M15" s="3">
        <v>95.85</v>
      </c>
      <c r="N15" s="3">
        <v>97.69</v>
      </c>
    </row>
    <row r="16" ht="14.25" customHeight="1">
      <c r="A16" s="3" t="s">
        <v>503</v>
      </c>
      <c r="B16" s="3">
        <v>167.72</v>
      </c>
      <c r="C16" s="3">
        <v>394.41</v>
      </c>
      <c r="D16" s="3">
        <v>1307.67</v>
      </c>
      <c r="E16" s="3">
        <v>35626.9</v>
      </c>
      <c r="F16" s="3">
        <v>25795.15</v>
      </c>
      <c r="G16" s="3">
        <v>0.010483</v>
      </c>
      <c r="H16" s="3">
        <v>-0.002378</v>
      </c>
      <c r="I16" s="3">
        <v>0.010666</v>
      </c>
      <c r="J16" s="3">
        <v>0.006532</v>
      </c>
      <c r="K16" s="3">
        <v>141.02</v>
      </c>
      <c r="L16" s="3">
        <v>97.29</v>
      </c>
      <c r="M16" s="3">
        <v>96.87</v>
      </c>
      <c r="N16" s="3">
        <v>98.33</v>
      </c>
    </row>
    <row r="17" ht="14.25" customHeight="1">
      <c r="A17" s="3" t="s">
        <v>504</v>
      </c>
      <c r="B17" s="3">
        <v>157.85</v>
      </c>
      <c r="C17" s="3">
        <v>402.41</v>
      </c>
      <c r="D17" s="3">
        <v>1298.5</v>
      </c>
      <c r="E17" s="3">
        <v>36275.95</v>
      </c>
      <c r="F17" s="3">
        <v>25722.1</v>
      </c>
      <c r="G17" s="3">
        <v>-0.058848</v>
      </c>
      <c r="H17" s="3">
        <v>0.020283</v>
      </c>
      <c r="I17" s="3">
        <v>-0.007012</v>
      </c>
      <c r="J17" s="3">
        <v>0.018218</v>
      </c>
      <c r="K17" s="3">
        <v>132.73</v>
      </c>
      <c r="L17" s="3">
        <v>99.26</v>
      </c>
      <c r="M17" s="3">
        <v>96.19</v>
      </c>
      <c r="N17" s="3">
        <v>100.12</v>
      </c>
    </row>
    <row r="18" ht="14.25" customHeight="1">
      <c r="A18" s="3" t="s">
        <v>505</v>
      </c>
      <c r="B18" s="3">
        <v>151.48</v>
      </c>
      <c r="C18" s="3">
        <v>390.78</v>
      </c>
      <c r="D18" s="3">
        <v>1263.68</v>
      </c>
      <c r="E18" s="3">
        <v>35790.3</v>
      </c>
      <c r="F18" s="3">
        <v>25492.3</v>
      </c>
      <c r="G18" s="3">
        <v>-0.040355</v>
      </c>
      <c r="H18" s="3">
        <v>-0.028901</v>
      </c>
      <c r="I18" s="3">
        <v>-0.026816</v>
      </c>
      <c r="J18" s="3">
        <v>-0.013388</v>
      </c>
      <c r="K18" s="3">
        <v>127.37</v>
      </c>
      <c r="L18" s="3">
        <v>96.4</v>
      </c>
      <c r="M18" s="3">
        <v>93.61</v>
      </c>
      <c r="N18" s="3">
        <v>98.78</v>
      </c>
    </row>
    <row r="19" ht="14.25" customHeight="1">
      <c r="A19" s="3" t="s">
        <v>506</v>
      </c>
      <c r="B19" s="3">
        <v>153.91</v>
      </c>
      <c r="C19" s="3">
        <v>386.01</v>
      </c>
      <c r="D19" s="3">
        <v>1283.21</v>
      </c>
      <c r="E19" s="3">
        <v>36261.1</v>
      </c>
      <c r="F19" s="3">
        <v>25910.05</v>
      </c>
      <c r="G19" s="3">
        <v>0.016042</v>
      </c>
      <c r="H19" s="3">
        <v>-0.012206</v>
      </c>
      <c r="I19" s="3">
        <v>0.015455</v>
      </c>
      <c r="J19" s="3">
        <v>0.013154</v>
      </c>
      <c r="K19" s="3">
        <v>129.41</v>
      </c>
      <c r="L19" s="3">
        <v>95.22</v>
      </c>
      <c r="M19" s="3">
        <v>95.06</v>
      </c>
      <c r="N19" s="3">
        <v>100.08</v>
      </c>
    </row>
    <row r="20" ht="14.25" customHeight="1">
      <c r="A20" s="3" t="s">
        <v>507</v>
      </c>
      <c r="B20" s="3">
        <v>149.12</v>
      </c>
      <c r="C20" s="3">
        <v>384.62</v>
      </c>
      <c r="D20" s="3">
        <v>1273.74</v>
      </c>
      <c r="E20" s="3">
        <v>35852.4</v>
      </c>
      <c r="F20" s="3">
        <v>26068.15</v>
      </c>
      <c r="G20" s="3">
        <v>-0.031122</v>
      </c>
      <c r="H20" s="3">
        <v>-0.003601</v>
      </c>
      <c r="I20" s="3">
        <v>-0.00738</v>
      </c>
      <c r="J20" s="3">
        <v>-0.011271</v>
      </c>
      <c r="K20" s="3">
        <v>125.38</v>
      </c>
      <c r="L20" s="3">
        <v>94.88</v>
      </c>
      <c r="M20" s="3">
        <v>94.36</v>
      </c>
      <c r="N20" s="3">
        <v>98.95</v>
      </c>
    </row>
    <row r="21" ht="14.25" customHeight="1">
      <c r="A21" s="3" t="s">
        <v>508</v>
      </c>
      <c r="B21" s="3">
        <v>147.49</v>
      </c>
      <c r="C21" s="3">
        <v>387.7</v>
      </c>
      <c r="D21" s="3">
        <v>1296.53</v>
      </c>
      <c r="E21" s="3">
        <v>35548.3</v>
      </c>
      <c r="F21" s="3">
        <v>26202.95</v>
      </c>
      <c r="G21" s="3">
        <v>-0.010931</v>
      </c>
      <c r="H21" s="3">
        <v>0.008008</v>
      </c>
      <c r="I21" s="3">
        <v>0.017892</v>
      </c>
      <c r="J21" s="3">
        <v>-0.008482</v>
      </c>
      <c r="K21" s="3">
        <v>124.01</v>
      </c>
      <c r="L21" s="3">
        <v>95.64</v>
      </c>
      <c r="M21" s="3">
        <v>96.05</v>
      </c>
      <c r="N21" s="3">
        <v>98.11</v>
      </c>
    </row>
    <row r="22" ht="14.25" customHeight="1">
      <c r="A22" s="3" t="s">
        <v>509</v>
      </c>
      <c r="B22" s="3">
        <v>143.78</v>
      </c>
      <c r="C22" s="3">
        <v>382.13</v>
      </c>
      <c r="D22" s="3">
        <v>1272.26</v>
      </c>
      <c r="E22" s="3">
        <v>34971.8</v>
      </c>
      <c r="F22" s="3">
        <v>26186.45</v>
      </c>
      <c r="G22" s="3">
        <v>-0.025154</v>
      </c>
      <c r="H22" s="3">
        <v>-0.014367</v>
      </c>
      <c r="I22" s="3">
        <v>-0.018719</v>
      </c>
      <c r="J22" s="3">
        <v>-0.016217</v>
      </c>
      <c r="K22" s="3">
        <v>120.89</v>
      </c>
      <c r="L22" s="3">
        <v>94.26</v>
      </c>
      <c r="M22" s="3">
        <v>94.25</v>
      </c>
      <c r="N22" s="3">
        <v>96.52</v>
      </c>
    </row>
    <row r="23" ht="14.25" customHeight="1">
      <c r="A23" s="3" t="s">
        <v>510</v>
      </c>
      <c r="B23" s="3">
        <v>144.49</v>
      </c>
      <c r="C23" s="3">
        <v>379.6</v>
      </c>
      <c r="D23" s="3">
        <v>1273.15</v>
      </c>
      <c r="E23" s="3">
        <v>35039.85</v>
      </c>
      <c r="F23" s="3">
        <v>26046.95</v>
      </c>
      <c r="G23" s="3">
        <v>0.004938</v>
      </c>
      <c r="H23" s="3">
        <v>-0.006621</v>
      </c>
      <c r="I23" s="3">
        <v>7.0E-4</v>
      </c>
      <c r="J23" s="3">
        <v>0.001946</v>
      </c>
      <c r="K23" s="3">
        <v>121.49</v>
      </c>
      <c r="L23" s="3">
        <v>93.64</v>
      </c>
      <c r="M23" s="3">
        <v>94.32</v>
      </c>
      <c r="N23" s="3">
        <v>96.71</v>
      </c>
    </row>
    <row r="24" ht="14.25" customHeight="1">
      <c r="A24" s="3" t="s">
        <v>511</v>
      </c>
      <c r="B24" s="3">
        <v>141.76</v>
      </c>
      <c r="C24" s="3">
        <v>378.21</v>
      </c>
      <c r="D24" s="3">
        <v>1261.61</v>
      </c>
      <c r="E24" s="3">
        <v>34796.4</v>
      </c>
      <c r="F24" s="3">
        <v>25966.4</v>
      </c>
      <c r="G24" s="3">
        <v>-0.018894</v>
      </c>
      <c r="H24" s="3">
        <v>-0.003662</v>
      </c>
      <c r="I24" s="3">
        <v>-0.009064</v>
      </c>
      <c r="J24" s="3">
        <v>-0.006948</v>
      </c>
      <c r="K24" s="3">
        <v>119.2</v>
      </c>
      <c r="L24" s="3">
        <v>93.3</v>
      </c>
      <c r="M24" s="3">
        <v>93.46</v>
      </c>
      <c r="N24" s="3">
        <v>96.04</v>
      </c>
    </row>
    <row r="25" ht="14.25" customHeight="1">
      <c r="A25" s="3" t="s">
        <v>512</v>
      </c>
      <c r="B25" s="3">
        <v>142.19</v>
      </c>
      <c r="C25" s="3">
        <v>377.21</v>
      </c>
      <c r="D25" s="3">
        <v>1281.44</v>
      </c>
      <c r="E25" s="3">
        <v>35058.8</v>
      </c>
      <c r="F25" s="3">
        <v>26042.3</v>
      </c>
      <c r="G25" s="3">
        <v>0.003033</v>
      </c>
      <c r="H25" s="3">
        <v>-0.002644</v>
      </c>
      <c r="I25" s="3">
        <v>0.015718</v>
      </c>
      <c r="J25" s="3">
        <v>0.007541</v>
      </c>
      <c r="K25" s="3">
        <v>119.56</v>
      </c>
      <c r="L25" s="3">
        <v>93.05</v>
      </c>
      <c r="M25" s="3">
        <v>94.93</v>
      </c>
      <c r="N25" s="3">
        <v>96.76</v>
      </c>
    </row>
    <row r="26" ht="14.25" customHeight="1">
      <c r="A26" s="3" t="s">
        <v>513</v>
      </c>
      <c r="B26" s="3">
        <v>148.17</v>
      </c>
      <c r="C26" s="3">
        <v>390.68</v>
      </c>
      <c r="D26" s="3">
        <v>1380.27</v>
      </c>
      <c r="E26" s="3">
        <v>36275.65</v>
      </c>
      <c r="F26" s="3">
        <v>26328.55</v>
      </c>
      <c r="G26" s="3">
        <v>0.042056</v>
      </c>
      <c r="H26" s="3">
        <v>0.03571</v>
      </c>
      <c r="I26" s="3">
        <v>0.077124</v>
      </c>
      <c r="J26" s="3">
        <v>0.034709</v>
      </c>
      <c r="K26" s="3">
        <v>124.59</v>
      </c>
      <c r="L26" s="3">
        <v>96.37</v>
      </c>
      <c r="M26" s="3">
        <v>102.25</v>
      </c>
      <c r="N26" s="3">
        <v>100.12</v>
      </c>
    </row>
    <row r="27" ht="14.25" customHeight="1">
      <c r="A27" s="3" t="s">
        <v>514</v>
      </c>
      <c r="B27" s="3">
        <v>141.68</v>
      </c>
      <c r="C27" s="3">
        <v>362.55</v>
      </c>
      <c r="D27" s="3">
        <v>1303.24</v>
      </c>
      <c r="E27" s="3">
        <v>34409.3</v>
      </c>
      <c r="F27" s="3">
        <v>25683.3</v>
      </c>
      <c r="G27" s="3">
        <v>-0.043801</v>
      </c>
      <c r="H27" s="3">
        <v>-0.072003</v>
      </c>
      <c r="I27" s="3">
        <v>-0.055808</v>
      </c>
      <c r="J27" s="3">
        <v>-0.051449</v>
      </c>
      <c r="K27" s="3">
        <v>119.13</v>
      </c>
      <c r="L27" s="3">
        <v>89.43</v>
      </c>
      <c r="M27" s="3">
        <v>96.54</v>
      </c>
      <c r="N27" s="3">
        <v>94.97</v>
      </c>
    </row>
    <row r="28" ht="14.25" customHeight="1">
      <c r="A28" s="3" t="s">
        <v>515</v>
      </c>
      <c r="B28" s="3">
        <v>142.63</v>
      </c>
      <c r="C28" s="3">
        <v>363.85</v>
      </c>
      <c r="D28" s="3">
        <v>1339.14</v>
      </c>
      <c r="E28" s="3">
        <v>34346.35</v>
      </c>
      <c r="F28" s="3">
        <v>25694.35</v>
      </c>
      <c r="G28" s="3">
        <v>0.006705</v>
      </c>
      <c r="H28" s="3">
        <v>0.003586</v>
      </c>
      <c r="I28" s="3">
        <v>0.027547</v>
      </c>
      <c r="J28" s="3">
        <v>-0.001829</v>
      </c>
      <c r="K28" s="3">
        <v>119.93</v>
      </c>
      <c r="L28" s="3">
        <v>89.75</v>
      </c>
      <c r="M28" s="3">
        <v>99.2</v>
      </c>
      <c r="N28" s="3">
        <v>94.8</v>
      </c>
    </row>
    <row r="29" ht="14.25" customHeight="1">
      <c r="A29" s="3" t="s">
        <v>516</v>
      </c>
      <c r="B29" s="3">
        <v>132.96</v>
      </c>
      <c r="C29" s="3">
        <v>343.12</v>
      </c>
      <c r="D29" s="3">
        <v>1253.33</v>
      </c>
      <c r="E29" s="3">
        <v>33098.3</v>
      </c>
      <c r="F29" s="3">
        <v>25048.65</v>
      </c>
      <c r="G29" s="3">
        <v>-0.067798</v>
      </c>
      <c r="H29" s="3">
        <v>-0.056974</v>
      </c>
      <c r="I29" s="3">
        <v>-0.064078</v>
      </c>
      <c r="J29" s="3">
        <v>-0.036337</v>
      </c>
      <c r="K29" s="3">
        <v>111.8</v>
      </c>
      <c r="L29" s="3">
        <v>84.64</v>
      </c>
      <c r="M29" s="3">
        <v>92.85</v>
      </c>
      <c r="N29" s="3">
        <v>91.35</v>
      </c>
    </row>
    <row r="30" ht="14.25" customHeight="1">
      <c r="A30" s="3" t="s">
        <v>517</v>
      </c>
      <c r="B30" s="3">
        <v>132.85</v>
      </c>
      <c r="C30" s="3">
        <v>352.17</v>
      </c>
      <c r="D30" s="3">
        <v>1279.76</v>
      </c>
      <c r="E30" s="3">
        <v>35138.05</v>
      </c>
      <c r="F30" s="3">
        <v>24825.45</v>
      </c>
      <c r="G30" s="3">
        <v>-8.27E-4</v>
      </c>
      <c r="H30" s="3">
        <v>0.026376</v>
      </c>
      <c r="I30" s="3">
        <v>0.021088</v>
      </c>
      <c r="J30" s="3">
        <v>0.061627</v>
      </c>
      <c r="K30" s="3">
        <v>111.7</v>
      </c>
      <c r="L30" s="3">
        <v>86.87</v>
      </c>
      <c r="M30" s="3">
        <v>94.8</v>
      </c>
      <c r="N30" s="3">
        <v>96.98</v>
      </c>
    </row>
    <row r="31" ht="14.25" customHeight="1">
      <c r="A31" s="3" t="s">
        <v>518</v>
      </c>
      <c r="B31" s="3">
        <v>152.74</v>
      </c>
      <c r="C31" s="3">
        <v>363.7</v>
      </c>
      <c r="D31" s="3">
        <v>1409.46</v>
      </c>
      <c r="E31" s="3">
        <v>36451.7</v>
      </c>
      <c r="F31" s="3">
        <v>25693.7</v>
      </c>
      <c r="G31" s="3">
        <v>0.149718</v>
      </c>
      <c r="H31" s="3">
        <v>0.03274</v>
      </c>
      <c r="I31" s="3">
        <v>0.101347</v>
      </c>
      <c r="J31" s="3">
        <v>0.037385</v>
      </c>
      <c r="K31" s="3">
        <v>128.43</v>
      </c>
      <c r="L31" s="3">
        <v>89.72</v>
      </c>
      <c r="M31" s="3">
        <v>104.41</v>
      </c>
      <c r="N31" s="3">
        <v>100.61</v>
      </c>
    </row>
    <row r="32" ht="14.25" customHeight="1">
      <c r="A32" s="3" t="s">
        <v>519</v>
      </c>
      <c r="B32" s="3">
        <v>139.9</v>
      </c>
      <c r="C32" s="3">
        <v>371.8</v>
      </c>
      <c r="D32" s="3">
        <v>1442.6</v>
      </c>
      <c r="E32" s="3">
        <v>35709.9</v>
      </c>
      <c r="F32" s="3">
        <v>25471.1</v>
      </c>
      <c r="G32" s="3">
        <v>-0.084064</v>
      </c>
      <c r="H32" s="3">
        <v>0.022271</v>
      </c>
      <c r="I32" s="3">
        <v>0.023513</v>
      </c>
      <c r="J32" s="3">
        <v>-0.02035</v>
      </c>
      <c r="K32" s="3">
        <v>117.63</v>
      </c>
      <c r="L32" s="3">
        <v>91.71</v>
      </c>
      <c r="M32" s="3">
        <v>106.87</v>
      </c>
      <c r="N32" s="3">
        <v>98.56</v>
      </c>
    </row>
    <row r="33" ht="14.25" customHeight="1">
      <c r="A33" s="3" t="s">
        <v>520</v>
      </c>
      <c r="B33" s="3">
        <v>142.7</v>
      </c>
      <c r="C33" s="3">
        <v>375.67</v>
      </c>
      <c r="D33" s="3">
        <v>1523.32</v>
      </c>
      <c r="E33" s="3">
        <v>36581.15</v>
      </c>
      <c r="F33" s="3">
        <v>25571.25</v>
      </c>
      <c r="G33" s="3">
        <v>0.020014</v>
      </c>
      <c r="H33" s="3">
        <v>0.010409</v>
      </c>
      <c r="I33" s="3">
        <v>0.055955</v>
      </c>
      <c r="J33" s="3">
        <v>0.024398</v>
      </c>
      <c r="K33" s="3">
        <v>119.99</v>
      </c>
      <c r="L33" s="3">
        <v>92.67</v>
      </c>
      <c r="M33" s="3">
        <v>112.85</v>
      </c>
      <c r="N33" s="3">
        <v>100.96</v>
      </c>
    </row>
    <row r="34" ht="14.25" customHeight="1">
      <c r="A34" s="3" t="s">
        <v>521</v>
      </c>
      <c r="B34" s="3">
        <v>140.11</v>
      </c>
      <c r="C34" s="3">
        <v>375.22</v>
      </c>
      <c r="D34" s="3">
        <v>1560.99</v>
      </c>
      <c r="E34" s="3">
        <v>37045.2</v>
      </c>
      <c r="F34" s="3">
        <v>25178.65</v>
      </c>
      <c r="G34" s="3">
        <v>-0.01815</v>
      </c>
      <c r="H34" s="3">
        <v>-0.001198</v>
      </c>
      <c r="I34" s="3">
        <v>0.024729</v>
      </c>
      <c r="J34" s="3">
        <v>0.012685</v>
      </c>
      <c r="K34" s="3">
        <v>117.81</v>
      </c>
      <c r="L34" s="3">
        <v>92.56</v>
      </c>
      <c r="M34" s="3">
        <v>115.64</v>
      </c>
      <c r="N34" s="3">
        <v>102.25</v>
      </c>
    </row>
    <row r="35" ht="14.25" customHeight="1">
      <c r="A35" s="3" t="s">
        <v>522</v>
      </c>
      <c r="B35" s="3">
        <v>138.99</v>
      </c>
      <c r="C35" s="3">
        <v>373.19</v>
      </c>
      <c r="D35" s="3">
        <v>1476.19</v>
      </c>
      <c r="E35" s="3">
        <v>36319.6</v>
      </c>
      <c r="F35" s="3">
        <v>24450.45</v>
      </c>
      <c r="G35" s="3">
        <v>-0.007994</v>
      </c>
      <c r="H35" s="3">
        <v>-0.00541</v>
      </c>
      <c r="I35" s="3">
        <v>-0.054324</v>
      </c>
      <c r="J35" s="3">
        <v>-0.019587</v>
      </c>
      <c r="K35" s="3">
        <v>116.87</v>
      </c>
      <c r="L35" s="3">
        <v>92.06</v>
      </c>
      <c r="M35" s="3">
        <v>109.36</v>
      </c>
      <c r="N35" s="3">
        <v>100.24</v>
      </c>
    </row>
    <row r="36" ht="14.25" customHeight="1">
      <c r="A36" s="3" t="s">
        <v>523</v>
      </c>
      <c r="B36" s="3">
        <v>146.57</v>
      </c>
      <c r="C36" s="3">
        <v>392.52</v>
      </c>
      <c r="D36" s="3">
        <v>1456.26</v>
      </c>
      <c r="E36" s="3">
        <v>36071.85</v>
      </c>
      <c r="F36" s="3">
        <v>23151.1</v>
      </c>
      <c r="G36" s="3">
        <v>0.054536</v>
      </c>
      <c r="H36" s="3">
        <v>0.051797</v>
      </c>
      <c r="I36" s="3">
        <v>-0.013501</v>
      </c>
      <c r="J36" s="3">
        <v>-0.006821</v>
      </c>
      <c r="K36" s="3">
        <v>123.24</v>
      </c>
      <c r="L36" s="3">
        <v>96.83</v>
      </c>
      <c r="M36" s="3">
        <v>107.88</v>
      </c>
      <c r="N36" s="3">
        <v>99.56</v>
      </c>
    </row>
    <row r="37" ht="14.25" customHeight="1">
      <c r="A37" s="3" t="s">
        <v>524</v>
      </c>
      <c r="B37" s="3">
        <v>151.54</v>
      </c>
      <c r="C37" s="3">
        <v>399.92</v>
      </c>
      <c r="D37" s="3">
        <v>1445.69</v>
      </c>
      <c r="E37" s="3">
        <v>35908.3</v>
      </c>
      <c r="F37" s="3">
        <v>23114.5</v>
      </c>
      <c r="G37" s="3">
        <v>0.033909</v>
      </c>
      <c r="H37" s="3">
        <v>0.018853</v>
      </c>
      <c r="I37" s="3">
        <v>-0.007258</v>
      </c>
      <c r="J37" s="3">
        <v>-0.004534</v>
      </c>
      <c r="K37" s="3">
        <v>127.42</v>
      </c>
      <c r="L37" s="3">
        <v>98.65</v>
      </c>
      <c r="M37" s="3">
        <v>107.1</v>
      </c>
      <c r="N37" s="3">
        <v>99.11</v>
      </c>
    </row>
    <row r="38" ht="14.25" customHeight="1">
      <c r="A38" s="3" t="s">
        <v>525</v>
      </c>
      <c r="B38" s="3">
        <v>153.92</v>
      </c>
      <c r="C38" s="3">
        <v>383.32</v>
      </c>
      <c r="D38" s="3">
        <v>1347.63</v>
      </c>
      <c r="E38" s="3">
        <v>35214.8</v>
      </c>
      <c r="F38" s="3">
        <v>22819.6</v>
      </c>
      <c r="G38" s="3">
        <v>0.015705</v>
      </c>
      <c r="H38" s="3">
        <v>-0.041508</v>
      </c>
      <c r="I38" s="3">
        <v>-0.067829</v>
      </c>
      <c r="J38" s="3">
        <v>-0.019313</v>
      </c>
      <c r="K38" s="3">
        <v>129.42</v>
      </c>
      <c r="L38" s="3">
        <v>94.56</v>
      </c>
      <c r="M38" s="3">
        <v>99.83</v>
      </c>
      <c r="N38" s="3">
        <v>97.19</v>
      </c>
    </row>
    <row r="39" ht="14.25" customHeight="1">
      <c r="A39" s="3" t="s">
        <v>526</v>
      </c>
      <c r="B39" s="3">
        <v>159.97</v>
      </c>
      <c r="C39" s="3">
        <v>382.63</v>
      </c>
      <c r="D39" s="3">
        <v>1327.6</v>
      </c>
      <c r="E39" s="3">
        <v>35299.4</v>
      </c>
      <c r="F39" s="3">
        <v>22713.1</v>
      </c>
      <c r="G39" s="3">
        <v>0.039306</v>
      </c>
      <c r="H39" s="3">
        <v>-0.0018</v>
      </c>
      <c r="I39" s="3">
        <v>-0.014863</v>
      </c>
      <c r="J39" s="3">
        <v>0.002402</v>
      </c>
      <c r="K39" s="3">
        <v>134.51</v>
      </c>
      <c r="L39" s="3">
        <v>94.39</v>
      </c>
      <c r="M39" s="3">
        <v>98.35</v>
      </c>
      <c r="N39" s="3">
        <v>97.43</v>
      </c>
    </row>
    <row r="40" ht="14.25" customHeight="1">
      <c r="A40" s="3" t="s">
        <v>527</v>
      </c>
      <c r="B40" s="3">
        <v>175.81</v>
      </c>
      <c r="C40" s="3">
        <v>396.89</v>
      </c>
      <c r="D40" s="3">
        <v>1466.72</v>
      </c>
      <c r="E40" s="3">
        <v>37174.6</v>
      </c>
      <c r="F40" s="3">
        <v>24050.6</v>
      </c>
      <c r="G40" s="3">
        <v>0.099019</v>
      </c>
      <c r="H40" s="3">
        <v>0.037268</v>
      </c>
      <c r="I40" s="3">
        <v>0.104791</v>
      </c>
      <c r="J40" s="3">
        <v>0.053123</v>
      </c>
      <c r="K40" s="3">
        <v>147.83</v>
      </c>
      <c r="L40" s="3">
        <v>97.9</v>
      </c>
      <c r="M40" s="3">
        <v>108.65</v>
      </c>
      <c r="N40" s="3">
        <v>102.6</v>
      </c>
    </row>
    <row r="41" ht="14.25" customHeight="1">
      <c r="A41" s="3" t="s">
        <v>528</v>
      </c>
      <c r="B41" s="3">
        <v>198.5</v>
      </c>
      <c r="C41" s="3">
        <v>424.97</v>
      </c>
      <c r="D41" s="3">
        <v>1559.6</v>
      </c>
      <c r="E41" s="3">
        <v>38881.75</v>
      </c>
      <c r="F41" s="3">
        <v>24353.55</v>
      </c>
      <c r="G41" s="3">
        <v>0.12906</v>
      </c>
      <c r="H41" s="3">
        <v>0.07075</v>
      </c>
      <c r="I41" s="3">
        <v>0.063325</v>
      </c>
      <c r="J41" s="3">
        <v>0.045922</v>
      </c>
      <c r="K41" s="3">
        <v>166.9</v>
      </c>
      <c r="L41" s="3">
        <v>104.83</v>
      </c>
      <c r="M41" s="3">
        <v>115.54</v>
      </c>
      <c r="N41" s="3">
        <v>107.31</v>
      </c>
    </row>
    <row r="42" ht="14.25" customHeight="1">
      <c r="A42" s="3" t="s">
        <v>529</v>
      </c>
      <c r="B42" s="3">
        <v>212.9</v>
      </c>
      <c r="C42" s="3">
        <v>432.32</v>
      </c>
      <c r="D42" s="3">
        <v>1693.63</v>
      </c>
      <c r="E42" s="3">
        <v>39903.75</v>
      </c>
      <c r="F42" s="3">
        <v>23897.95</v>
      </c>
      <c r="G42" s="3">
        <v>0.072544</v>
      </c>
      <c r="H42" s="3">
        <v>0.017295</v>
      </c>
      <c r="I42" s="3">
        <v>0.085939</v>
      </c>
      <c r="J42" s="3">
        <v>0.026285</v>
      </c>
      <c r="K42" s="3">
        <v>179.01</v>
      </c>
      <c r="L42" s="3">
        <v>106.64</v>
      </c>
      <c r="M42" s="3">
        <v>125.46</v>
      </c>
      <c r="N42" s="3">
        <v>110.14</v>
      </c>
    </row>
    <row r="43" ht="14.25" customHeight="1">
      <c r="A43" s="3" t="s">
        <v>530</v>
      </c>
      <c r="B43" s="3">
        <v>221.85</v>
      </c>
      <c r="C43" s="3">
        <v>441.81</v>
      </c>
      <c r="D43" s="3">
        <v>1730.01</v>
      </c>
      <c r="E43" s="3">
        <v>40771.9</v>
      </c>
      <c r="F43" s="3">
        <v>23997.55</v>
      </c>
      <c r="G43" s="3">
        <v>0.042039</v>
      </c>
      <c r="H43" s="3">
        <v>0.021951</v>
      </c>
      <c r="I43" s="3">
        <v>0.02148</v>
      </c>
      <c r="J43" s="3">
        <v>0.021756</v>
      </c>
      <c r="K43" s="3">
        <v>186.54</v>
      </c>
      <c r="L43" s="3">
        <v>108.98</v>
      </c>
      <c r="M43" s="3">
        <v>128.16</v>
      </c>
      <c r="N43" s="3">
        <v>112.53</v>
      </c>
    </row>
    <row r="44" ht="14.25" customHeight="1">
      <c r="A44" s="3" t="s">
        <v>531</v>
      </c>
      <c r="B44" s="3">
        <v>225.33</v>
      </c>
      <c r="C44" s="3">
        <v>433.31</v>
      </c>
      <c r="D44" s="3">
        <v>1718.45</v>
      </c>
      <c r="E44" s="3">
        <v>40795.8</v>
      </c>
      <c r="F44" s="3">
        <v>24176.15</v>
      </c>
      <c r="G44" s="3">
        <v>0.015686</v>
      </c>
      <c r="H44" s="3">
        <v>-0.019239</v>
      </c>
      <c r="I44" s="3">
        <v>-0.006682</v>
      </c>
      <c r="J44" s="3">
        <v>5.86E-4</v>
      </c>
      <c r="K44" s="3">
        <v>189.46</v>
      </c>
      <c r="L44" s="3">
        <v>106.89</v>
      </c>
      <c r="M44" s="3">
        <v>127.3</v>
      </c>
      <c r="N44" s="3">
        <v>112.6</v>
      </c>
    </row>
    <row r="45" ht="14.25" customHeight="1">
      <c r="A45" s="3" t="s">
        <v>532</v>
      </c>
      <c r="B45" s="3">
        <v>221.33</v>
      </c>
      <c r="C45" s="3">
        <v>404.49</v>
      </c>
      <c r="D45" s="3">
        <v>1460.94</v>
      </c>
      <c r="E45" s="3">
        <v>39816.85</v>
      </c>
      <c r="F45" s="3">
        <v>23643.5</v>
      </c>
      <c r="G45" s="3">
        <v>-0.017752</v>
      </c>
      <c r="H45" s="3">
        <v>-0.066511</v>
      </c>
      <c r="I45" s="3">
        <v>-0.14985</v>
      </c>
      <c r="J45" s="3">
        <v>-0.023996</v>
      </c>
      <c r="K45" s="3">
        <v>186.1</v>
      </c>
      <c r="L45" s="3">
        <v>99.78</v>
      </c>
      <c r="M45" s="3">
        <v>108.23</v>
      </c>
      <c r="N45" s="3">
        <v>109.9</v>
      </c>
    </row>
    <row r="46" ht="14.25" customHeight="1">
      <c r="A46" s="3" t="s">
        <v>533</v>
      </c>
      <c r="B46" s="3">
        <v>219.32</v>
      </c>
      <c r="C46" s="3">
        <v>406.38</v>
      </c>
      <c r="D46" s="3">
        <v>1493.33</v>
      </c>
      <c r="E46" s="3">
        <v>40237.6</v>
      </c>
      <c r="F46" s="3">
        <v>23719.3</v>
      </c>
      <c r="G46" s="3">
        <v>-0.009081</v>
      </c>
      <c r="H46" s="3">
        <v>0.004673</v>
      </c>
      <c r="I46" s="3">
        <v>0.022171</v>
      </c>
      <c r="J46" s="3">
        <v>0.010567</v>
      </c>
      <c r="K46" s="3">
        <v>184.41</v>
      </c>
      <c r="L46" s="3">
        <v>100.24</v>
      </c>
      <c r="M46" s="3">
        <v>110.63</v>
      </c>
      <c r="N46" s="3">
        <v>111.06</v>
      </c>
    </row>
    <row r="47" ht="14.25" customHeight="1">
      <c r="A47" s="3" t="s">
        <v>534</v>
      </c>
      <c r="B47" s="3">
        <v>243.37</v>
      </c>
      <c r="C47" s="3">
        <v>418.16</v>
      </c>
      <c r="D47" s="3">
        <v>1415.4</v>
      </c>
      <c r="E47" s="3">
        <v>40878.0</v>
      </c>
      <c r="F47" s="3">
        <v>23547.75</v>
      </c>
      <c r="G47" s="3">
        <v>0.109657</v>
      </c>
      <c r="H47" s="3">
        <v>0.028988</v>
      </c>
      <c r="I47" s="3">
        <v>-0.052185</v>
      </c>
      <c r="J47" s="3">
        <v>0.015915</v>
      </c>
      <c r="K47" s="3">
        <v>204.63</v>
      </c>
      <c r="L47" s="3">
        <v>103.15</v>
      </c>
      <c r="M47" s="3">
        <v>104.85</v>
      </c>
      <c r="N47" s="3">
        <v>112.82</v>
      </c>
    </row>
    <row r="48" ht="14.25" customHeight="1">
      <c r="A48" s="3" t="s">
        <v>535</v>
      </c>
      <c r="B48" s="3">
        <v>232.6</v>
      </c>
      <c r="C48" s="3">
        <v>406.68</v>
      </c>
      <c r="D48" s="3">
        <v>1455.06</v>
      </c>
      <c r="E48" s="3">
        <v>40346.1</v>
      </c>
      <c r="F48" s="3">
        <v>23366.7</v>
      </c>
      <c r="G48" s="3">
        <v>-0.044254</v>
      </c>
      <c r="H48" s="3">
        <v>-0.027454</v>
      </c>
      <c r="I48" s="3">
        <v>0.02802</v>
      </c>
      <c r="J48" s="3">
        <v>-0.013012</v>
      </c>
      <c r="K48" s="3">
        <v>195.58</v>
      </c>
      <c r="L48" s="3">
        <v>100.32</v>
      </c>
      <c r="M48" s="3">
        <v>107.79</v>
      </c>
      <c r="N48" s="3">
        <v>111.36</v>
      </c>
    </row>
    <row r="49" ht="14.25" customHeight="1">
      <c r="A49" s="3" t="s">
        <v>536</v>
      </c>
      <c r="B49" s="3">
        <v>223.07</v>
      </c>
      <c r="C49" s="3">
        <v>391.13</v>
      </c>
      <c r="D49" s="3">
        <v>1387.2</v>
      </c>
      <c r="E49" s="3">
        <v>39244.45</v>
      </c>
      <c r="F49" s="3">
        <v>23622.9</v>
      </c>
      <c r="G49" s="3">
        <v>-0.040972</v>
      </c>
      <c r="H49" s="3">
        <v>-0.038236</v>
      </c>
      <c r="I49" s="3">
        <v>-0.046637</v>
      </c>
      <c r="J49" s="3">
        <v>-0.027305</v>
      </c>
      <c r="K49" s="3">
        <v>187.56</v>
      </c>
      <c r="L49" s="3">
        <v>96.48</v>
      </c>
      <c r="M49" s="3">
        <v>102.76</v>
      </c>
      <c r="N49" s="3">
        <v>108.32</v>
      </c>
    </row>
    <row r="50" ht="14.25" customHeight="1">
      <c r="A50" s="3" t="s">
        <v>537</v>
      </c>
      <c r="B50" s="3">
        <v>231.76</v>
      </c>
      <c r="C50" s="3">
        <v>399.87</v>
      </c>
      <c r="D50" s="3">
        <v>1438.4</v>
      </c>
      <c r="E50" s="3">
        <v>40548.1</v>
      </c>
      <c r="F50" s="3">
        <v>24013.1</v>
      </c>
      <c r="G50" s="3">
        <v>0.038956</v>
      </c>
      <c r="H50" s="3">
        <v>0.022346</v>
      </c>
      <c r="I50" s="3">
        <v>0.036909</v>
      </c>
      <c r="J50" s="3">
        <v>0.033219</v>
      </c>
      <c r="K50" s="3">
        <v>194.87</v>
      </c>
      <c r="L50" s="3">
        <v>98.64</v>
      </c>
      <c r="M50" s="3">
        <v>106.56</v>
      </c>
      <c r="N50" s="3">
        <v>111.91</v>
      </c>
    </row>
    <row r="51" ht="14.25" customHeight="1">
      <c r="A51" s="3" t="s">
        <v>538</v>
      </c>
      <c r="B51" s="3">
        <v>229.27</v>
      </c>
      <c r="C51" s="3">
        <v>388.95</v>
      </c>
      <c r="D51" s="3">
        <v>1413.7</v>
      </c>
      <c r="E51" s="3">
        <v>39637.0</v>
      </c>
      <c r="F51" s="3">
        <v>24056.0</v>
      </c>
      <c r="G51" s="3">
        <v>-0.010744</v>
      </c>
      <c r="H51" s="3">
        <v>-0.027309</v>
      </c>
      <c r="I51" s="3">
        <v>-0.017172</v>
      </c>
      <c r="J51" s="3">
        <v>-0.02247</v>
      </c>
      <c r="K51" s="3">
        <v>192.78</v>
      </c>
      <c r="L51" s="3">
        <v>95.94</v>
      </c>
      <c r="M51" s="3">
        <v>104.73</v>
      </c>
      <c r="N51" s="3">
        <v>109.4</v>
      </c>
    </row>
    <row r="52" ht="14.25" customHeight="1">
      <c r="A52" s="3" t="s">
        <v>539</v>
      </c>
      <c r="B52" s="3">
        <v>221.79</v>
      </c>
      <c r="C52" s="3">
        <v>375.2</v>
      </c>
      <c r="D52" s="3">
        <v>1366.5</v>
      </c>
      <c r="E52" s="3">
        <v>39178.6</v>
      </c>
      <c r="F52" s="3">
        <v>24270.85</v>
      </c>
      <c r="G52" s="3">
        <v>-0.032625</v>
      </c>
      <c r="H52" s="3">
        <v>-0.035352</v>
      </c>
      <c r="I52" s="3">
        <v>-0.033388</v>
      </c>
      <c r="J52" s="3">
        <v>-0.011565</v>
      </c>
      <c r="K52" s="3">
        <v>186.49</v>
      </c>
      <c r="L52" s="3">
        <v>92.55</v>
      </c>
      <c r="M52" s="3">
        <v>101.23</v>
      </c>
      <c r="N52" s="3">
        <v>108.13</v>
      </c>
    </row>
    <row r="53" ht="14.25" customHeight="1">
      <c r="A53" s="3" t="s">
        <v>540</v>
      </c>
      <c r="B53" s="3">
        <v>218.45</v>
      </c>
      <c r="C53" s="3">
        <v>381.3</v>
      </c>
      <c r="D53" s="3">
        <v>1419.4</v>
      </c>
      <c r="E53" s="3">
        <v>39242.05</v>
      </c>
      <c r="F53" s="3">
        <v>24206.9</v>
      </c>
      <c r="G53" s="3">
        <v>-0.015059</v>
      </c>
      <c r="H53" s="3">
        <v>0.016258</v>
      </c>
      <c r="I53" s="3">
        <v>0.038712</v>
      </c>
      <c r="J53" s="3">
        <v>0.00162</v>
      </c>
      <c r="K53" s="3">
        <v>183.68</v>
      </c>
      <c r="L53" s="3">
        <v>94.06</v>
      </c>
      <c r="M53" s="3">
        <v>105.15</v>
      </c>
      <c r="N53" s="3">
        <v>108.31</v>
      </c>
    </row>
    <row r="54" ht="14.25" customHeight="1">
      <c r="A54" s="3" t="s">
        <v>541</v>
      </c>
      <c r="B54" s="3">
        <v>226.17</v>
      </c>
      <c r="C54" s="3">
        <v>377.7</v>
      </c>
      <c r="D54" s="3">
        <v>1465.3</v>
      </c>
      <c r="F54" s="3">
        <v>24052.05</v>
      </c>
      <c r="G54" s="3">
        <v>0.03534</v>
      </c>
      <c r="H54" s="3">
        <v>-0.009441</v>
      </c>
      <c r="I54" s="3">
        <v>0.032338</v>
      </c>
      <c r="K54" s="3">
        <v>190.17</v>
      </c>
      <c r="L54" s="3">
        <v>93.17</v>
      </c>
      <c r="M54" s="3">
        <v>108.55</v>
      </c>
    </row>
    <row r="55" ht="14.25" customHeight="1">
      <c r="A55" s="3" t="s">
        <v>542</v>
      </c>
      <c r="B55" s="3">
        <v>218.97</v>
      </c>
      <c r="C55" s="3">
        <v>380.9</v>
      </c>
      <c r="D55" s="3">
        <v>1441.1</v>
      </c>
      <c r="E55" s="3">
        <v>39381.25</v>
      </c>
      <c r="F55" s="3">
        <v>24078.5</v>
      </c>
      <c r="G55" s="3">
        <v>-0.031834</v>
      </c>
      <c r="H55" s="3">
        <v>0.008472</v>
      </c>
      <c r="I55" s="3">
        <v>-0.016515</v>
      </c>
      <c r="J55" s="3">
        <v>0.003547</v>
      </c>
      <c r="K55" s="3">
        <v>184.12</v>
      </c>
      <c r="L55" s="3">
        <v>93.96</v>
      </c>
      <c r="M55" s="3">
        <v>106.76</v>
      </c>
      <c r="N55" s="3">
        <v>108.69</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2" width="40.0"/>
    <col customWidth="1" min="3" max="3" width="30.0"/>
    <col customWidth="1" min="4" max="4" width="16.0"/>
    <col customWidth="1" min="5" max="26" width="8.71"/>
  </cols>
  <sheetData>
    <row r="1" ht="24.0" customHeight="1">
      <c r="A1" s="9" t="s">
        <v>543</v>
      </c>
    </row>
    <row r="2" ht="14.25" customHeight="1">
      <c r="A2" s="10" t="s">
        <v>544</v>
      </c>
    </row>
    <row r="3" ht="6.0" customHeight="1"/>
    <row r="4" ht="14.25" customHeight="1"/>
    <row r="5" ht="14.25" customHeight="1">
      <c r="A5" s="11" t="s">
        <v>545</v>
      </c>
      <c r="B5" s="11" t="s">
        <v>546</v>
      </c>
      <c r="C5" s="11" t="s">
        <v>547</v>
      </c>
      <c r="D5" s="11" t="s">
        <v>548</v>
      </c>
    </row>
    <row r="6" ht="45.0" customHeight="1">
      <c r="A6" s="13" t="s">
        <v>549</v>
      </c>
      <c r="B6" s="13" t="s">
        <v>550</v>
      </c>
      <c r="C6" s="20" t="s">
        <v>551</v>
      </c>
      <c r="D6" s="13"/>
    </row>
    <row r="7" ht="45.0" customHeight="1">
      <c r="A7" s="13" t="s">
        <v>552</v>
      </c>
      <c r="B7" s="13" t="s">
        <v>553</v>
      </c>
      <c r="C7" s="20" t="s">
        <v>554</v>
      </c>
      <c r="D7" s="13"/>
    </row>
    <row r="8" ht="45.0" customHeight="1">
      <c r="A8" s="13" t="s">
        <v>555</v>
      </c>
      <c r="B8" s="13" t="s">
        <v>556</v>
      </c>
      <c r="C8" s="20" t="s">
        <v>554</v>
      </c>
      <c r="D8" s="13"/>
    </row>
    <row r="9" ht="45.0" customHeight="1">
      <c r="A9" s="13" t="s">
        <v>557</v>
      </c>
      <c r="B9" s="13" t="s">
        <v>558</v>
      </c>
      <c r="C9" s="13" t="s">
        <v>559</v>
      </c>
      <c r="D9" s="13"/>
    </row>
    <row r="10" ht="45.0" customHeight="1">
      <c r="A10" s="13" t="s">
        <v>560</v>
      </c>
      <c r="B10" s="13" t="s">
        <v>561</v>
      </c>
      <c r="C10" s="20" t="s">
        <v>554</v>
      </c>
      <c r="D10" s="13"/>
    </row>
    <row r="11" ht="45.0" customHeight="1">
      <c r="A11" s="13" t="s">
        <v>562</v>
      </c>
      <c r="B11" s="13" t="s">
        <v>563</v>
      </c>
      <c r="C11" s="13" t="s">
        <v>564</v>
      </c>
      <c r="D11" s="13"/>
    </row>
    <row r="12" ht="45.0" customHeight="1">
      <c r="A12" s="13" t="s">
        <v>565</v>
      </c>
      <c r="B12" s="13" t="s">
        <v>566</v>
      </c>
      <c r="C12" s="13" t="s">
        <v>567</v>
      </c>
      <c r="D12" s="13"/>
    </row>
    <row r="13" ht="45.0" customHeight="1">
      <c r="A13" s="13" t="s">
        <v>568</v>
      </c>
      <c r="B13" s="13" t="s">
        <v>569</v>
      </c>
      <c r="C13" s="13" t="s">
        <v>570</v>
      </c>
      <c r="D13" s="13" t="s">
        <v>571</v>
      </c>
    </row>
    <row r="14" ht="45.0" customHeight="1">
      <c r="A14" s="13" t="s">
        <v>572</v>
      </c>
      <c r="B14" s="13" t="s">
        <v>573</v>
      </c>
      <c r="C14" s="20" t="s">
        <v>554</v>
      </c>
      <c r="D14" s="13"/>
    </row>
    <row r="15" ht="45.0" customHeight="1">
      <c r="A15" s="13" t="s">
        <v>574</v>
      </c>
      <c r="B15" s="13" t="s">
        <v>575</v>
      </c>
      <c r="C15" s="20" t="s">
        <v>554</v>
      </c>
      <c r="D15" s="13"/>
    </row>
    <row r="16" ht="45.0" customHeight="1">
      <c r="A16" s="13" t="s">
        <v>576</v>
      </c>
      <c r="B16" s="13" t="s">
        <v>577</v>
      </c>
      <c r="C16" s="20" t="s">
        <v>554</v>
      </c>
      <c r="D16" s="13"/>
    </row>
    <row r="17" ht="45.0" customHeight="1">
      <c r="A17" s="13" t="s">
        <v>578</v>
      </c>
      <c r="B17" s="13" t="s">
        <v>579</v>
      </c>
      <c r="C17" s="13" t="s">
        <v>580</v>
      </c>
      <c r="D17" s="13" t="s">
        <v>581</v>
      </c>
    </row>
    <row r="18" ht="45.0" customHeight="1">
      <c r="A18" s="13" t="s">
        <v>582</v>
      </c>
      <c r="B18" s="13" t="s">
        <v>583</v>
      </c>
      <c r="C18" s="13" t="s">
        <v>584</v>
      </c>
      <c r="D18" s="13" t="s">
        <v>585</v>
      </c>
    </row>
    <row r="19" ht="45.0" customHeight="1">
      <c r="A19" s="13" t="s">
        <v>586</v>
      </c>
      <c r="B19" s="13" t="s">
        <v>587</v>
      </c>
      <c r="C19" s="20" t="s">
        <v>554</v>
      </c>
      <c r="D19" s="13"/>
    </row>
    <row r="20" ht="14.25" customHeight="1"/>
    <row r="21" ht="14.25" customHeight="1">
      <c r="A21" s="24" t="s">
        <v>588</v>
      </c>
    </row>
    <row r="22" ht="90.0" customHeight="1">
      <c r="A22" s="18" t="s">
        <v>589</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D1"/>
    <mergeCell ref="A2:D2"/>
    <mergeCell ref="A22:D25"/>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 t="s">
        <v>475</v>
      </c>
      <c r="B1" s="3" t="s">
        <v>476</v>
      </c>
      <c r="C1" s="3" t="s">
        <v>590</v>
      </c>
    </row>
    <row r="2" ht="14.25" customHeight="1">
      <c r="A2" s="3" t="s">
        <v>489</v>
      </c>
      <c r="B2" s="3">
        <v>118.93</v>
      </c>
    </row>
    <row r="3" ht="14.25" customHeight="1">
      <c r="A3" s="3" t="s">
        <v>490</v>
      </c>
      <c r="B3" s="3">
        <v>114.0</v>
      </c>
    </row>
    <row r="4" ht="14.25" customHeight="1">
      <c r="A4" s="3" t="s">
        <v>491</v>
      </c>
      <c r="B4" s="3">
        <v>113.4</v>
      </c>
      <c r="C4" s="3" t="s">
        <v>591</v>
      </c>
    </row>
    <row r="5" ht="14.25" customHeight="1">
      <c r="A5" s="3" t="s">
        <v>492</v>
      </c>
      <c r="B5" s="3">
        <v>115.38</v>
      </c>
      <c r="C5" s="3" t="s">
        <v>591</v>
      </c>
    </row>
    <row r="6" ht="14.25" customHeight="1">
      <c r="A6" s="3" t="s">
        <v>493</v>
      </c>
      <c r="B6" s="3">
        <v>116.81</v>
      </c>
    </row>
    <row r="7" ht="14.25" customHeight="1">
      <c r="A7" s="3" t="s">
        <v>494</v>
      </c>
      <c r="B7" s="3">
        <v>118.86</v>
      </c>
    </row>
    <row r="8" ht="14.25" customHeight="1">
      <c r="A8" s="3" t="s">
        <v>495</v>
      </c>
      <c r="B8" s="3">
        <v>120.13</v>
      </c>
    </row>
    <row r="9" ht="14.25" customHeight="1">
      <c r="A9" s="3" t="s">
        <v>496</v>
      </c>
      <c r="B9" s="3">
        <v>121.94</v>
      </c>
    </row>
    <row r="10" ht="14.25" customHeight="1">
      <c r="A10" s="3" t="s">
        <v>497</v>
      </c>
      <c r="B10" s="3">
        <v>129.71</v>
      </c>
    </row>
    <row r="11" ht="14.25" customHeight="1">
      <c r="A11" s="3" t="s">
        <v>498</v>
      </c>
      <c r="B11" s="3">
        <v>141.88</v>
      </c>
    </row>
    <row r="12" ht="14.25" customHeight="1">
      <c r="A12" s="3" t="s">
        <v>499</v>
      </c>
      <c r="B12" s="3">
        <v>146.25</v>
      </c>
      <c r="C12" s="3" t="s">
        <v>592</v>
      </c>
    </row>
    <row r="13" ht="14.25" customHeight="1">
      <c r="A13" s="3" t="s">
        <v>500</v>
      </c>
      <c r="B13" s="3">
        <v>147.38</v>
      </c>
    </row>
    <row r="14" ht="14.25" customHeight="1">
      <c r="A14" s="3" t="s">
        <v>501</v>
      </c>
      <c r="B14" s="3">
        <v>149.7</v>
      </c>
    </row>
    <row r="15" ht="14.25" customHeight="1">
      <c r="A15" s="3" t="s">
        <v>502</v>
      </c>
      <c r="B15" s="3">
        <v>165.98</v>
      </c>
    </row>
    <row r="16" ht="14.25" customHeight="1">
      <c r="A16" s="3" t="s">
        <v>503</v>
      </c>
      <c r="B16" s="3">
        <v>167.72</v>
      </c>
    </row>
    <row r="17" ht="14.25" customHeight="1">
      <c r="A17" s="3" t="s">
        <v>504</v>
      </c>
      <c r="B17" s="3">
        <v>157.85</v>
      </c>
      <c r="C17" s="3" t="s">
        <v>593</v>
      </c>
    </row>
    <row r="18" ht="14.25" customHeight="1">
      <c r="A18" s="3" t="s">
        <v>505</v>
      </c>
      <c r="B18" s="3">
        <v>151.48</v>
      </c>
      <c r="C18" s="3" t="s">
        <v>593</v>
      </c>
    </row>
    <row r="19" ht="14.25" customHeight="1">
      <c r="A19" s="3" t="s">
        <v>506</v>
      </c>
      <c r="B19" s="3">
        <v>153.91</v>
      </c>
      <c r="C19" s="3" t="s">
        <v>594</v>
      </c>
    </row>
    <row r="20" ht="14.25" customHeight="1">
      <c r="A20" s="3" t="s">
        <v>507</v>
      </c>
      <c r="B20" s="3">
        <v>149.12</v>
      </c>
      <c r="C20" s="3" t="s">
        <v>594</v>
      </c>
    </row>
    <row r="21" ht="14.25" customHeight="1">
      <c r="A21" s="3" t="s">
        <v>508</v>
      </c>
      <c r="B21" s="3">
        <v>147.49</v>
      </c>
      <c r="C21" s="3" t="s">
        <v>595</v>
      </c>
    </row>
    <row r="22" ht="14.25" customHeight="1">
      <c r="A22" s="3" t="s">
        <v>509</v>
      </c>
      <c r="B22" s="3">
        <v>143.78</v>
      </c>
    </row>
    <row r="23" ht="14.25" customHeight="1">
      <c r="A23" s="3" t="s">
        <v>510</v>
      </c>
      <c r="B23" s="3">
        <v>144.49</v>
      </c>
    </row>
    <row r="24" ht="14.25" customHeight="1">
      <c r="A24" s="3" t="s">
        <v>511</v>
      </c>
      <c r="B24" s="3">
        <v>141.76</v>
      </c>
    </row>
    <row r="25" ht="14.25" customHeight="1">
      <c r="A25" s="3" t="s">
        <v>512</v>
      </c>
      <c r="B25" s="3">
        <v>142.19</v>
      </c>
    </row>
    <row r="26" ht="14.25" customHeight="1">
      <c r="A26" s="3" t="s">
        <v>513</v>
      </c>
      <c r="B26" s="3">
        <v>148.17</v>
      </c>
    </row>
    <row r="27" ht="14.25" customHeight="1">
      <c r="A27" s="3" t="s">
        <v>514</v>
      </c>
      <c r="B27" s="3">
        <v>141.68</v>
      </c>
    </row>
    <row r="28" ht="14.25" customHeight="1">
      <c r="A28" s="3" t="s">
        <v>515</v>
      </c>
      <c r="B28" s="3">
        <v>142.63</v>
      </c>
    </row>
    <row r="29" ht="14.25" customHeight="1">
      <c r="A29" s="3" t="s">
        <v>516</v>
      </c>
      <c r="B29" s="3">
        <v>132.96</v>
      </c>
    </row>
    <row r="30" ht="14.25" customHeight="1">
      <c r="A30" s="3" t="s">
        <v>517</v>
      </c>
      <c r="B30" s="3">
        <v>132.85</v>
      </c>
    </row>
    <row r="31" ht="14.25" customHeight="1">
      <c r="A31" s="3" t="s">
        <v>518</v>
      </c>
      <c r="B31" s="3">
        <v>152.74</v>
      </c>
    </row>
    <row r="32" ht="14.25" customHeight="1">
      <c r="A32" s="3" t="s">
        <v>519</v>
      </c>
      <c r="B32" s="3">
        <v>139.9</v>
      </c>
      <c r="C32" s="3" t="s">
        <v>596</v>
      </c>
    </row>
    <row r="33" ht="14.25" customHeight="1">
      <c r="A33" s="3" t="s">
        <v>520</v>
      </c>
      <c r="B33" s="3">
        <v>142.7</v>
      </c>
      <c r="C33" s="3" t="s">
        <v>596</v>
      </c>
    </row>
    <row r="34" ht="14.25" customHeight="1">
      <c r="A34" s="3" t="s">
        <v>521</v>
      </c>
      <c r="B34" s="3">
        <v>140.11</v>
      </c>
    </row>
    <row r="35" ht="14.25" customHeight="1">
      <c r="A35" s="3" t="s">
        <v>522</v>
      </c>
      <c r="B35" s="3">
        <v>138.99</v>
      </c>
    </row>
    <row r="36" ht="14.25" customHeight="1">
      <c r="A36" s="3" t="s">
        <v>523</v>
      </c>
      <c r="B36" s="3">
        <v>146.57</v>
      </c>
      <c r="C36" s="3" t="s">
        <v>597</v>
      </c>
    </row>
    <row r="37" ht="14.25" customHeight="1">
      <c r="A37" s="3" t="s">
        <v>524</v>
      </c>
      <c r="B37" s="3">
        <v>151.54</v>
      </c>
      <c r="C37" s="3" t="s">
        <v>597</v>
      </c>
    </row>
    <row r="38" ht="14.25" customHeight="1">
      <c r="A38" s="3" t="s">
        <v>525</v>
      </c>
      <c r="B38" s="3">
        <v>153.92</v>
      </c>
    </row>
    <row r="39" ht="14.25" customHeight="1">
      <c r="A39" s="3" t="s">
        <v>526</v>
      </c>
      <c r="B39" s="3">
        <v>159.97</v>
      </c>
    </row>
    <row r="40" ht="14.25" customHeight="1">
      <c r="A40" s="3" t="s">
        <v>527</v>
      </c>
      <c r="B40" s="3">
        <v>175.81</v>
      </c>
    </row>
    <row r="41" ht="14.25" customHeight="1">
      <c r="A41" s="3" t="s">
        <v>528</v>
      </c>
      <c r="B41" s="3">
        <v>198.5</v>
      </c>
    </row>
    <row r="42" ht="14.25" customHeight="1">
      <c r="A42" s="3" t="s">
        <v>529</v>
      </c>
      <c r="B42" s="3">
        <v>212.9</v>
      </c>
    </row>
    <row r="43" ht="14.25" customHeight="1">
      <c r="A43" s="3" t="s">
        <v>530</v>
      </c>
      <c r="B43" s="3">
        <v>221.85</v>
      </c>
      <c r="C43" s="3" t="s">
        <v>598</v>
      </c>
    </row>
    <row r="44" ht="14.25" customHeight="1">
      <c r="A44" s="3" t="s">
        <v>531</v>
      </c>
      <c r="B44" s="3">
        <v>225.33</v>
      </c>
      <c r="C44" s="3" t="s">
        <v>598</v>
      </c>
    </row>
    <row r="45" ht="14.25" customHeight="1">
      <c r="A45" s="3" t="s">
        <v>532</v>
      </c>
      <c r="B45" s="3">
        <v>221.33</v>
      </c>
      <c r="C45" s="3" t="s">
        <v>599</v>
      </c>
    </row>
    <row r="46" ht="14.25" customHeight="1">
      <c r="A46" s="3" t="s">
        <v>533</v>
      </c>
      <c r="B46" s="3">
        <v>219.32</v>
      </c>
      <c r="C46" s="3" t="s">
        <v>600</v>
      </c>
    </row>
    <row r="47" ht="14.25" customHeight="1">
      <c r="A47" s="3" t="s">
        <v>534</v>
      </c>
      <c r="B47" s="3">
        <v>243.37</v>
      </c>
      <c r="C47" s="3" t="s">
        <v>600</v>
      </c>
    </row>
    <row r="48" ht="14.25" customHeight="1">
      <c r="A48" s="3" t="s">
        <v>535</v>
      </c>
      <c r="B48" s="3">
        <v>232.6</v>
      </c>
    </row>
    <row r="49" ht="14.25" customHeight="1">
      <c r="A49" s="3" t="s">
        <v>536</v>
      </c>
      <c r="B49" s="3">
        <v>223.07</v>
      </c>
    </row>
    <row r="50" ht="14.25" customHeight="1">
      <c r="A50" s="3" t="s">
        <v>537</v>
      </c>
      <c r="B50" s="3">
        <v>231.76</v>
      </c>
    </row>
    <row r="51" ht="14.25" customHeight="1">
      <c r="A51" s="3" t="s">
        <v>538</v>
      </c>
      <c r="B51" s="3">
        <v>229.27</v>
      </c>
    </row>
    <row r="52" ht="14.25" customHeight="1">
      <c r="A52" s="3" t="s">
        <v>539</v>
      </c>
      <c r="B52" s="3">
        <v>221.79</v>
      </c>
    </row>
    <row r="53" ht="14.25" customHeight="1">
      <c r="A53" s="3" t="s">
        <v>540</v>
      </c>
      <c r="B53" s="3">
        <v>218.45</v>
      </c>
    </row>
    <row r="54" ht="14.25" customHeight="1">
      <c r="A54" s="3" t="s">
        <v>541</v>
      </c>
      <c r="B54" s="3">
        <v>226.17</v>
      </c>
    </row>
    <row r="55" ht="14.25" customHeight="1">
      <c r="A55" s="3" t="s">
        <v>542</v>
      </c>
      <c r="B55" s="3">
        <v>218.97</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70.0"/>
    <col customWidth="1" min="3" max="26" width="8.71"/>
  </cols>
  <sheetData>
    <row r="1" ht="24.0" customHeight="1">
      <c r="A1" s="9" t="s">
        <v>601</v>
      </c>
    </row>
    <row r="2" ht="14.25" customHeight="1">
      <c r="A2" s="10"/>
    </row>
    <row r="3" ht="6.0" customHeight="1"/>
    <row r="4" ht="14.25" customHeight="1"/>
    <row r="5" ht="14.25" customHeight="1">
      <c r="A5" s="17" t="s">
        <v>602</v>
      </c>
    </row>
    <row r="6" ht="114.75" customHeight="1">
      <c r="A6" s="18" t="s">
        <v>603</v>
      </c>
    </row>
    <row r="7" ht="14.25" customHeight="1"/>
    <row r="8" ht="14.25" customHeight="1"/>
    <row r="9" ht="14.25" customHeight="1"/>
    <row r="10" ht="14.25" customHeight="1"/>
    <row r="11" ht="14.25" customHeight="1"/>
    <row r="12" ht="14.25" customHeight="1"/>
    <row r="13" ht="14.25" customHeight="1">
      <c r="A13" s="17" t="s">
        <v>604</v>
      </c>
    </row>
    <row r="14" ht="30.0" customHeight="1">
      <c r="A14" s="18" t="s">
        <v>605</v>
      </c>
    </row>
    <row r="15" ht="30.0" customHeight="1">
      <c r="A15" s="18" t="s">
        <v>606</v>
      </c>
    </row>
    <row r="16" ht="30.0" customHeight="1">
      <c r="A16" s="18" t="s">
        <v>607</v>
      </c>
    </row>
    <row r="17" ht="30.0" customHeight="1">
      <c r="A17" s="18" t="s">
        <v>608</v>
      </c>
    </row>
    <row r="18" ht="30.0" customHeight="1">
      <c r="A18" s="18" t="s">
        <v>609</v>
      </c>
    </row>
    <row r="19" ht="30.0" customHeight="1">
      <c r="A19" s="18" t="s">
        <v>610</v>
      </c>
    </row>
    <row r="20" ht="30.0" customHeight="1">
      <c r="A20" s="18" t="s">
        <v>611</v>
      </c>
    </row>
    <row r="21" ht="30.0" customHeight="1">
      <c r="A21" s="18" t="s">
        <v>612</v>
      </c>
    </row>
    <row r="22" ht="30.0" customHeight="1">
      <c r="A22" s="18" t="s">
        <v>613</v>
      </c>
    </row>
    <row r="23" ht="30.0" customHeight="1">
      <c r="A23" s="18" t="s">
        <v>614</v>
      </c>
    </row>
    <row r="24" ht="14.25" customHeight="1"/>
    <row r="25" ht="14.25" customHeight="1">
      <c r="A25" s="17" t="s">
        <v>615</v>
      </c>
    </row>
    <row r="26" ht="14.25" customHeight="1">
      <c r="A26" s="18" t="s">
        <v>616</v>
      </c>
    </row>
    <row r="27" ht="14.25" customHeight="1">
      <c r="A27" s="18" t="s">
        <v>617</v>
      </c>
    </row>
    <row r="28" ht="14.25" customHeight="1">
      <c r="A28" s="18" t="s">
        <v>618</v>
      </c>
    </row>
    <row r="29" ht="14.25" customHeight="1">
      <c r="A29" s="18" t="s">
        <v>619</v>
      </c>
    </row>
    <row r="30" ht="14.25" customHeight="1">
      <c r="A30" s="18" t="s">
        <v>620</v>
      </c>
    </row>
    <row r="31" ht="14.25" customHeight="1">
      <c r="A31" s="18" t="s">
        <v>621</v>
      </c>
    </row>
    <row r="32" ht="14.25" customHeight="1">
      <c r="A32" s="18" t="s">
        <v>622</v>
      </c>
    </row>
    <row r="33" ht="14.25" customHeight="1">
      <c r="A33" s="18" t="s">
        <v>623</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A1:B1"/>
    <mergeCell ref="A2:B2"/>
    <mergeCell ref="A6:B11"/>
    <mergeCell ref="A14:B14"/>
    <mergeCell ref="A15:B15"/>
    <mergeCell ref="A16:B16"/>
    <mergeCell ref="A17:B17"/>
    <mergeCell ref="A27:B27"/>
    <mergeCell ref="A28:B28"/>
    <mergeCell ref="A29:B29"/>
    <mergeCell ref="A30:B30"/>
    <mergeCell ref="A31:B31"/>
    <mergeCell ref="A32:B32"/>
    <mergeCell ref="A33:B33"/>
    <mergeCell ref="A18:B18"/>
    <mergeCell ref="A19:B19"/>
    <mergeCell ref="A20:B20"/>
    <mergeCell ref="A21:B21"/>
    <mergeCell ref="A22:B22"/>
    <mergeCell ref="A23:B23"/>
    <mergeCell ref="A26:B26"/>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9.57"/>
    <col customWidth="1" min="2" max="2" width="16.0"/>
    <col customWidth="1" min="3" max="3" width="16.43"/>
    <col customWidth="1" min="4" max="4" width="14.57"/>
    <col customWidth="1" min="5" max="5" width="16.0"/>
    <col customWidth="1" min="8" max="8" width="100.86"/>
    <col customWidth="1" min="9" max="9" width="17.71"/>
    <col customWidth="1" min="12" max="12" width="17.43"/>
    <col customWidth="1" min="13" max="13" width="19.71"/>
  </cols>
  <sheetData>
    <row r="1">
      <c r="A1" s="25" t="s">
        <v>624</v>
      </c>
      <c r="H1" s="25" t="s">
        <v>625</v>
      </c>
    </row>
    <row r="2">
      <c r="A2" s="26" t="s">
        <v>242</v>
      </c>
      <c r="B2" s="27">
        <v>46112.0</v>
      </c>
      <c r="C2" s="28">
        <v>45747.0</v>
      </c>
      <c r="D2" s="29">
        <v>45382.0</v>
      </c>
      <c r="E2" s="30">
        <v>45016.0</v>
      </c>
      <c r="F2" s="30">
        <v>44651.0</v>
      </c>
      <c r="H2" s="31" t="s">
        <v>242</v>
      </c>
      <c r="K2" s="32"/>
      <c r="L2" s="33">
        <v>45016.0</v>
      </c>
      <c r="M2" s="33">
        <v>44651.0</v>
      </c>
    </row>
    <row r="3">
      <c r="A3" s="34" t="s">
        <v>626</v>
      </c>
      <c r="B3" s="35"/>
      <c r="C3" s="35"/>
      <c r="D3" s="36"/>
      <c r="E3" s="36"/>
      <c r="F3" s="36"/>
      <c r="H3" s="37" t="s">
        <v>627</v>
      </c>
      <c r="K3" s="32"/>
      <c r="L3" s="38">
        <v>55109.08</v>
      </c>
      <c r="M3" s="38">
        <v>42815.67</v>
      </c>
    </row>
    <row r="4">
      <c r="A4" s="34" t="s">
        <v>628</v>
      </c>
      <c r="B4" s="35"/>
      <c r="C4" s="35"/>
      <c r="D4" s="36"/>
      <c r="E4" s="36"/>
      <c r="F4" s="36"/>
      <c r="H4" s="37" t="s">
        <v>629</v>
      </c>
      <c r="K4" s="32"/>
      <c r="L4" s="38">
        <v>1438.02</v>
      </c>
      <c r="M4" s="39">
        <v>919.96</v>
      </c>
    </row>
    <row r="5">
      <c r="A5" s="37" t="s">
        <v>630</v>
      </c>
      <c r="B5" s="40">
        <v>78870.54</v>
      </c>
      <c r="D5" s="32"/>
      <c r="E5" s="38">
        <v>54524.96</v>
      </c>
      <c r="F5" s="38">
        <v>50502.96</v>
      </c>
      <c r="H5" s="41" t="s">
        <v>631</v>
      </c>
      <c r="K5" s="32"/>
      <c r="L5" s="42">
        <f t="shared" ref="L5:M5" si="1">sum(L3:L4)</f>
        <v>56547.1</v>
      </c>
      <c r="M5" s="42">
        <f t="shared" si="1"/>
        <v>43735.63</v>
      </c>
    </row>
    <row r="6">
      <c r="A6" s="37" t="s">
        <v>632</v>
      </c>
      <c r="B6" s="40">
        <v>5525.44</v>
      </c>
      <c r="D6" s="32"/>
      <c r="E6" s="38">
        <v>3982.05</v>
      </c>
      <c r="F6" s="38">
        <v>3661.99</v>
      </c>
      <c r="H6" s="34" t="s">
        <v>633</v>
      </c>
      <c r="K6" s="36"/>
      <c r="L6" s="36"/>
      <c r="M6" s="36"/>
    </row>
    <row r="7">
      <c r="A7" s="37" t="s">
        <v>634</v>
      </c>
      <c r="B7" s="40">
        <v>14595.13</v>
      </c>
      <c r="D7" s="32"/>
      <c r="E7" s="38">
        <v>5376.36</v>
      </c>
      <c r="F7" s="38">
        <v>4635.1</v>
      </c>
      <c r="H7" s="37" t="s">
        <v>635</v>
      </c>
      <c r="K7" s="32"/>
      <c r="L7" s="38">
        <v>19062.67</v>
      </c>
      <c r="M7" s="38">
        <v>14640.62</v>
      </c>
    </row>
    <row r="8">
      <c r="A8" s="37" t="s">
        <v>636</v>
      </c>
      <c r="B8" s="40">
        <v>1651.46</v>
      </c>
      <c r="D8" s="32"/>
      <c r="E8" s="38">
        <v>1858.31</v>
      </c>
      <c r="F8" s="38">
        <v>1858.31</v>
      </c>
      <c r="H8" s="37" t="s">
        <v>637</v>
      </c>
      <c r="K8" s="32"/>
      <c r="L8" s="38">
        <v>13763.59</v>
      </c>
      <c r="M8" s="38">
        <v>8290.92</v>
      </c>
    </row>
    <row r="9">
      <c r="A9" s="37" t="s">
        <v>638</v>
      </c>
      <c r="B9" s="40">
        <v>1245.25</v>
      </c>
      <c r="D9" s="32"/>
      <c r="E9" s="38">
        <v>1381.34</v>
      </c>
      <c r="F9" s="38">
        <v>1366.18</v>
      </c>
      <c r="H9" s="37" t="s">
        <v>639</v>
      </c>
      <c r="K9" s="32"/>
      <c r="L9" s="38">
        <v>1194.95</v>
      </c>
      <c r="M9" s="38">
        <v>1018.19</v>
      </c>
    </row>
    <row r="10">
      <c r="A10" s="37" t="s">
        <v>640</v>
      </c>
      <c r="B10" s="40">
        <v>13549.05</v>
      </c>
      <c r="D10" s="32"/>
      <c r="E10" s="38">
        <v>14218.88</v>
      </c>
      <c r="F10" s="38">
        <v>12580.0</v>
      </c>
      <c r="H10" s="37" t="s">
        <v>641</v>
      </c>
      <c r="K10" s="32"/>
      <c r="L10" s="38">
        <v>3882.3</v>
      </c>
      <c r="M10" s="38">
        <v>3832.83</v>
      </c>
    </row>
    <row r="11">
      <c r="A11" s="43" t="s">
        <v>642</v>
      </c>
      <c r="D11" s="32"/>
      <c r="E11" s="32"/>
      <c r="F11" s="32"/>
      <c r="H11" s="37" t="s">
        <v>643</v>
      </c>
      <c r="K11" s="32"/>
      <c r="L11" s="39">
        <v>56.15</v>
      </c>
      <c r="M11" s="39">
        <v>49.11</v>
      </c>
    </row>
    <row r="12">
      <c r="A12" s="37" t="s">
        <v>644</v>
      </c>
      <c r="B12" s="40">
        <v>1669.37</v>
      </c>
      <c r="D12" s="32"/>
      <c r="E12" s="38">
        <v>1301.21</v>
      </c>
      <c r="F12" s="38">
        <v>1169.81</v>
      </c>
      <c r="H12" s="37" t="s">
        <v>645</v>
      </c>
      <c r="K12" s="32"/>
      <c r="L12" s="39">
        <v>43.53</v>
      </c>
      <c r="M12" s="39">
        <v>-199.22</v>
      </c>
    </row>
    <row r="13">
      <c r="A13" s="37" t="s">
        <v>646</v>
      </c>
      <c r="B13" s="40">
        <v>1599.35</v>
      </c>
      <c r="D13" s="32"/>
      <c r="E13" s="39">
        <v>359.63</v>
      </c>
      <c r="F13" s="39">
        <v>685.78</v>
      </c>
      <c r="H13" s="37" t="s">
        <v>647</v>
      </c>
      <c r="K13" s="32"/>
      <c r="L13" s="38">
        <v>3624.26</v>
      </c>
      <c r="M13" s="38">
        <v>3611.63</v>
      </c>
    </row>
    <row r="14">
      <c r="A14" s="37" t="s">
        <v>648</v>
      </c>
      <c r="B14" s="6">
        <v>37.14</v>
      </c>
      <c r="D14" s="32"/>
      <c r="E14" s="39">
        <v>2.99</v>
      </c>
      <c r="F14" s="39">
        <v>3.45</v>
      </c>
      <c r="H14" s="37" t="s">
        <v>649</v>
      </c>
      <c r="K14" s="32"/>
      <c r="L14" s="38">
        <v>4371.65</v>
      </c>
      <c r="M14" s="38">
        <v>3859.02</v>
      </c>
    </row>
    <row r="15">
      <c r="A15" s="37" t="s">
        <v>650</v>
      </c>
      <c r="B15" s="6">
        <v>837.84</v>
      </c>
      <c r="D15" s="32"/>
      <c r="E15" s="39">
        <v>567.22</v>
      </c>
      <c r="F15" s="39">
        <v>588.69</v>
      </c>
      <c r="H15" s="37" t="s">
        <v>651</v>
      </c>
      <c r="K15" s="32"/>
      <c r="L15" s="38">
        <v>3439.2</v>
      </c>
      <c r="M15" s="38">
        <v>3122.2</v>
      </c>
    </row>
    <row r="16">
      <c r="A16" s="37" t="s">
        <v>652</v>
      </c>
      <c r="B16" s="40">
        <v>3522.62</v>
      </c>
      <c r="D16" s="32"/>
      <c r="E16" s="38">
        <v>1726.66</v>
      </c>
      <c r="F16" s="38">
        <v>1684.53</v>
      </c>
      <c r="H16" s="37" t="s">
        <v>653</v>
      </c>
      <c r="K16" s="32"/>
      <c r="L16" s="38">
        <v>5775.31</v>
      </c>
      <c r="M16" s="38">
        <v>4060.42</v>
      </c>
    </row>
    <row r="17">
      <c r="A17" s="37" t="s">
        <v>654</v>
      </c>
      <c r="B17" s="6">
        <v>960.96</v>
      </c>
      <c r="D17" s="32"/>
      <c r="E17" s="39">
        <v>739.07</v>
      </c>
      <c r="F17" s="39">
        <v>520.54</v>
      </c>
      <c r="H17" s="41" t="s">
        <v>655</v>
      </c>
      <c r="K17" s="32"/>
      <c r="L17" s="42">
        <f t="shared" ref="L17:M17" si="2">SUM(L7:L16)</f>
        <v>55213.61</v>
      </c>
      <c r="M17" s="42">
        <f t="shared" si="2"/>
        <v>42285.72</v>
      </c>
    </row>
    <row r="18">
      <c r="A18" s="37" t="s">
        <v>656</v>
      </c>
      <c r="B18" s="6">
        <v>607.54</v>
      </c>
      <c r="D18" s="32"/>
      <c r="E18" s="39">
        <v>252.9</v>
      </c>
      <c r="F18" s="39">
        <v>334.6</v>
      </c>
      <c r="H18" s="44" t="s">
        <v>657</v>
      </c>
      <c r="K18" s="32"/>
      <c r="L18" s="45">
        <f t="shared" ref="L18:M18" si="3">L5-L17</f>
        <v>1333.49</v>
      </c>
      <c r="M18" s="45">
        <f t="shared" si="3"/>
        <v>1449.91</v>
      </c>
    </row>
    <row r="19">
      <c r="A19" s="37" t="s">
        <v>658</v>
      </c>
      <c r="B19" s="40">
        <v>10635.84</v>
      </c>
      <c r="D19" s="32"/>
      <c r="E19" s="38">
        <v>2532.46</v>
      </c>
      <c r="F19" s="38">
        <v>1849.82</v>
      </c>
      <c r="H19" s="37" t="s">
        <v>659</v>
      </c>
      <c r="K19" s="32"/>
      <c r="L19" s="39">
        <v>815.7</v>
      </c>
      <c r="M19" s="39">
        <v>-380.42</v>
      </c>
    </row>
    <row r="20">
      <c r="A20" s="41" t="s">
        <v>660</v>
      </c>
      <c r="B20" s="46">
        <f>sum(B5:B19)</f>
        <v>135307.53</v>
      </c>
      <c r="D20" s="32"/>
      <c r="E20" s="42">
        <f t="shared" ref="E20:F20" si="4">sum(E5:E19)</f>
        <v>88824.04</v>
      </c>
      <c r="F20" s="42">
        <f t="shared" si="4"/>
        <v>81441.76</v>
      </c>
      <c r="H20" s="37" t="s">
        <v>661</v>
      </c>
      <c r="K20" s="32"/>
      <c r="L20" s="39">
        <v>-8.53</v>
      </c>
      <c r="M20" s="39">
        <v>0.0</v>
      </c>
    </row>
    <row r="21">
      <c r="A21" s="34" t="s">
        <v>662</v>
      </c>
      <c r="B21" s="35"/>
      <c r="C21" s="35"/>
      <c r="D21" s="36"/>
      <c r="E21" s="36"/>
      <c r="F21" s="36"/>
      <c r="H21" s="37" t="s">
        <v>663</v>
      </c>
      <c r="K21" s="32"/>
      <c r="L21" s="39">
        <v>116.88</v>
      </c>
      <c r="M21" s="39">
        <v>140.95</v>
      </c>
    </row>
    <row r="22">
      <c r="A22" s="37" t="s">
        <v>664</v>
      </c>
      <c r="B22" s="40">
        <v>5107.64</v>
      </c>
      <c r="D22" s="32"/>
      <c r="E22" s="38">
        <v>3942.88</v>
      </c>
      <c r="F22" s="38">
        <v>4231.52</v>
      </c>
      <c r="H22" s="41" t="s">
        <v>665</v>
      </c>
      <c r="K22" s="32"/>
      <c r="L22" s="47">
        <f t="shared" ref="L22:M22" si="5">sum(L19:L21)</f>
        <v>924.05</v>
      </c>
      <c r="M22" s="47">
        <f t="shared" si="5"/>
        <v>-239.47</v>
      </c>
    </row>
    <row r="23">
      <c r="A23" s="43" t="s">
        <v>642</v>
      </c>
      <c r="D23" s="32"/>
      <c r="E23" s="32"/>
      <c r="F23" s="32"/>
      <c r="H23" s="41" t="s">
        <v>666</v>
      </c>
      <c r="K23" s="32"/>
      <c r="L23" s="42">
        <f t="shared" ref="L23:M23" si="6">L18+L22</f>
        <v>2257.54</v>
      </c>
      <c r="M23" s="42">
        <f t="shared" si="6"/>
        <v>1210.44</v>
      </c>
    </row>
    <row r="24">
      <c r="A24" s="37" t="s">
        <v>667</v>
      </c>
      <c r="B24" s="40">
        <v>1356.12</v>
      </c>
      <c r="D24" s="32"/>
      <c r="E24" s="38">
        <v>1149.6</v>
      </c>
      <c r="F24" s="39">
        <v>410.52</v>
      </c>
      <c r="H24" s="37" t="s">
        <v>668</v>
      </c>
      <c r="K24" s="32"/>
      <c r="L24" s="38">
        <v>3199.46</v>
      </c>
      <c r="M24" s="38">
        <v>1942.83</v>
      </c>
    </row>
    <row r="25">
      <c r="A25" s="37" t="s">
        <v>646</v>
      </c>
      <c r="B25" s="40">
        <v>4423.96</v>
      </c>
      <c r="D25" s="32"/>
      <c r="E25" s="38">
        <v>6952.15</v>
      </c>
      <c r="F25" s="38">
        <v>5979.74</v>
      </c>
      <c r="H25" s="41" t="s">
        <v>669</v>
      </c>
      <c r="K25" s="32"/>
      <c r="L25" s="42">
        <f t="shared" ref="L25:M25" si="7">L23+L24</f>
        <v>5457</v>
      </c>
      <c r="M25" s="42">
        <f t="shared" si="7"/>
        <v>3153.27</v>
      </c>
    </row>
    <row r="26">
      <c r="A26" s="37" t="s">
        <v>670</v>
      </c>
      <c r="B26" s="40">
        <v>2842.63</v>
      </c>
      <c r="D26" s="32"/>
      <c r="E26" s="38">
        <v>2456.71</v>
      </c>
      <c r="F26" s="38">
        <v>2285.57</v>
      </c>
      <c r="H26" s="37" t="s">
        <v>671</v>
      </c>
      <c r="K26" s="32"/>
      <c r="L26" s="39">
        <v>0.0</v>
      </c>
      <c r="M26" s="39">
        <v>-150.27</v>
      </c>
    </row>
    <row r="27">
      <c r="A27" s="37" t="s">
        <v>672</v>
      </c>
      <c r="B27" s="40">
        <v>4409.67</v>
      </c>
      <c r="D27" s="32"/>
      <c r="E27" s="38">
        <v>4189.76</v>
      </c>
      <c r="F27" s="38">
        <v>3077.24</v>
      </c>
      <c r="H27" s="41" t="s">
        <v>673</v>
      </c>
      <c r="K27" s="32"/>
      <c r="L27" s="42">
        <f t="shared" ref="L27:M27" si="8">L25+L26</f>
        <v>5457</v>
      </c>
      <c r="M27" s="42">
        <f t="shared" si="8"/>
        <v>3003</v>
      </c>
    </row>
    <row r="28">
      <c r="A28" s="37" t="s">
        <v>674</v>
      </c>
      <c r="B28" s="40">
        <v>9234.33</v>
      </c>
      <c r="D28" s="32"/>
      <c r="E28" s="38">
        <v>7016.77</v>
      </c>
      <c r="F28" s="38">
        <v>3563.46</v>
      </c>
      <c r="H28" s="34" t="s">
        <v>675</v>
      </c>
      <c r="K28" s="36"/>
      <c r="L28" s="36"/>
      <c r="M28" s="36"/>
    </row>
    <row r="29">
      <c r="A29" s="37" t="s">
        <v>648</v>
      </c>
      <c r="B29" s="6">
        <v>19.8</v>
      </c>
      <c r="D29" s="32"/>
      <c r="E29" s="39">
        <v>11.55</v>
      </c>
      <c r="F29" s="39">
        <v>9.34</v>
      </c>
      <c r="H29" s="37" t="s">
        <v>676</v>
      </c>
      <c r="K29" s="32"/>
      <c r="L29" s="39">
        <v>804.33</v>
      </c>
      <c r="M29" s="39">
        <v>580.3</v>
      </c>
    </row>
    <row r="30">
      <c r="A30" s="37" t="s">
        <v>650</v>
      </c>
      <c r="B30" s="6">
        <v>86.65</v>
      </c>
      <c r="D30" s="32"/>
      <c r="E30" s="39">
        <v>54.5</v>
      </c>
      <c r="F30" s="39">
        <v>46.91</v>
      </c>
      <c r="H30" s="37" t="s">
        <v>677</v>
      </c>
      <c r="K30" s="32"/>
      <c r="L30" s="39">
        <v>-52.37</v>
      </c>
      <c r="M30" s="39">
        <v>-105.11</v>
      </c>
    </row>
    <row r="31">
      <c r="A31" s="37" t="s">
        <v>652</v>
      </c>
      <c r="B31" s="40">
        <v>1316.67</v>
      </c>
      <c r="D31" s="32"/>
      <c r="E31" s="39">
        <v>688.3</v>
      </c>
      <c r="F31" s="39">
        <v>501.45</v>
      </c>
      <c r="H31" s="37" t="s">
        <v>678</v>
      </c>
      <c r="K31" s="32"/>
      <c r="L31" s="38">
        <v>1010.3</v>
      </c>
      <c r="M31" s="39">
        <v>133.31</v>
      </c>
    </row>
    <row r="32">
      <c r="A32" s="37" t="s">
        <v>679</v>
      </c>
      <c r="B32" s="40">
        <v>0.0</v>
      </c>
      <c r="D32" s="32"/>
      <c r="E32" s="39">
        <v>0.69</v>
      </c>
      <c r="F32" s="39">
        <v>0.01</v>
      </c>
      <c r="H32" s="37" t="s">
        <v>680</v>
      </c>
      <c r="K32" s="32"/>
      <c r="L32" s="39">
        <v>-114.93</v>
      </c>
      <c r="M32" s="39">
        <v>-588.56</v>
      </c>
    </row>
    <row r="33">
      <c r="A33" s="37" t="s">
        <v>681</v>
      </c>
      <c r="B33" s="40">
        <v>1773.58</v>
      </c>
      <c r="D33" s="32"/>
      <c r="E33" s="38">
        <v>1328.72</v>
      </c>
      <c r="F33" s="38">
        <v>1479.67</v>
      </c>
      <c r="H33" s="37" t="s">
        <v>682</v>
      </c>
      <c r="K33" s="32"/>
      <c r="L33" s="39">
        <v>0.0</v>
      </c>
      <c r="M33" s="39">
        <v>359.62</v>
      </c>
    </row>
    <row r="34">
      <c r="A34" s="41" t="s">
        <v>683</v>
      </c>
      <c r="B34" s="46">
        <f>sum(B22:B33)</f>
        <v>30571.05</v>
      </c>
      <c r="D34" s="32"/>
      <c r="E34" s="42">
        <f t="shared" ref="E34:F34" si="9">sum(E22:E33)</f>
        <v>27791.63</v>
      </c>
      <c r="F34" s="42">
        <f t="shared" si="9"/>
        <v>21585.43</v>
      </c>
      <c r="H34" s="41" t="s">
        <v>684</v>
      </c>
      <c r="K34" s="32"/>
      <c r="L34" s="42">
        <f t="shared" ref="L34:M34" si="10">SUM(L29:L33)</f>
        <v>1647.33</v>
      </c>
      <c r="M34" s="42">
        <f t="shared" si="10"/>
        <v>379.56</v>
      </c>
    </row>
    <row r="35">
      <c r="A35" s="37" t="s">
        <v>685</v>
      </c>
      <c r="B35" s="40">
        <v>1153.75</v>
      </c>
      <c r="D35" s="32"/>
      <c r="E35" s="38">
        <v>3299.94</v>
      </c>
      <c r="F35" s="38">
        <v>3046.83</v>
      </c>
      <c r="H35" s="41" t="s">
        <v>686</v>
      </c>
      <c r="K35" s="32"/>
      <c r="L35" s="42">
        <f t="shared" ref="L35:M35" si="11">L27-L34</f>
        <v>3809.67</v>
      </c>
      <c r="M35" s="42">
        <f t="shared" si="11"/>
        <v>2623.44</v>
      </c>
    </row>
    <row r="36">
      <c r="A36" s="41" t="s">
        <v>687</v>
      </c>
      <c r="B36" s="48">
        <v>167032.33</v>
      </c>
      <c r="D36" s="32"/>
      <c r="E36" s="42">
        <f t="shared" ref="E36:F36" si="12">E20+E34+E35</f>
        <v>119915.61</v>
      </c>
      <c r="F36" s="42">
        <f t="shared" si="12"/>
        <v>106074.02</v>
      </c>
      <c r="H36" s="37" t="s">
        <v>688</v>
      </c>
      <c r="K36" s="32"/>
      <c r="L36" s="39">
        <v>0.0</v>
      </c>
      <c r="M36" s="39">
        <v>0.0</v>
      </c>
    </row>
    <row r="37">
      <c r="A37" s="37" t="s">
        <v>689</v>
      </c>
      <c r="B37" s="40">
        <v>8139.45</v>
      </c>
      <c r="D37" s="32"/>
      <c r="E37" s="38">
        <v>8433.43</v>
      </c>
      <c r="F37" s="38">
        <v>6810.57</v>
      </c>
      <c r="H37" s="37" t="s">
        <v>690</v>
      </c>
      <c r="K37" s="32"/>
      <c r="L37" s="39">
        <v>0.0</v>
      </c>
      <c r="M37" s="39">
        <v>-467.83</v>
      </c>
    </row>
    <row r="38">
      <c r="A38" s="49" t="s">
        <v>691</v>
      </c>
      <c r="B38" s="48">
        <f>B20+B34+B35+B37</f>
        <v>175171.78</v>
      </c>
      <c r="D38" s="32"/>
      <c r="E38" s="50">
        <f t="shared" ref="E38:F38" si="13">E36+E37</f>
        <v>128349.04</v>
      </c>
      <c r="F38" s="50">
        <f t="shared" si="13"/>
        <v>112884.59</v>
      </c>
      <c r="H38" s="37" t="s">
        <v>692</v>
      </c>
      <c r="K38" s="32"/>
      <c r="L38" s="39">
        <v>0.0</v>
      </c>
      <c r="M38" s="39">
        <v>0.0</v>
      </c>
    </row>
    <row r="39">
      <c r="A39" s="41"/>
      <c r="B39" s="32"/>
      <c r="C39" s="46"/>
      <c r="H39" s="41" t="s">
        <v>693</v>
      </c>
      <c r="K39" s="32"/>
      <c r="L39" s="47">
        <v>0.0</v>
      </c>
      <c r="M39" s="47">
        <v>-467.83</v>
      </c>
    </row>
    <row r="40">
      <c r="A40" s="34" t="s">
        <v>694</v>
      </c>
      <c r="B40" s="36"/>
      <c r="C40" s="36"/>
      <c r="D40" s="36"/>
      <c r="E40" s="36"/>
      <c r="H40" s="49" t="s">
        <v>695</v>
      </c>
      <c r="K40" s="32"/>
      <c r="L40" s="50">
        <f t="shared" ref="L40:M40" si="14">L35+L39</f>
        <v>3809.67</v>
      </c>
      <c r="M40" s="50">
        <f t="shared" si="14"/>
        <v>2155.61</v>
      </c>
    </row>
    <row r="41">
      <c r="A41" s="34" t="s">
        <v>696</v>
      </c>
      <c r="B41" s="36"/>
      <c r="C41" s="36"/>
      <c r="D41" s="36"/>
      <c r="E41" s="36"/>
    </row>
    <row r="42">
      <c r="A42" s="37" t="s">
        <v>697</v>
      </c>
      <c r="B42" s="51">
        <v>319.56</v>
      </c>
      <c r="C42" s="52"/>
      <c r="E42" s="53">
        <v>319.56</v>
      </c>
      <c r="F42" s="53">
        <v>319.56</v>
      </c>
    </row>
    <row r="43">
      <c r="A43" s="37" t="s">
        <v>698</v>
      </c>
      <c r="B43" s="54">
        <v>39147.65</v>
      </c>
      <c r="C43" s="52"/>
      <c r="E43" s="55">
        <v>28467.87</v>
      </c>
      <c r="F43" s="55">
        <v>22122.0</v>
      </c>
    </row>
    <row r="44">
      <c r="A44" s="41" t="s">
        <v>699</v>
      </c>
      <c r="B44" s="56">
        <v>319.56</v>
      </c>
      <c r="C44" s="57"/>
      <c r="E44" s="58">
        <f t="shared" ref="E44:F44" si="15">sum(E42:E43)</f>
        <v>28787.43</v>
      </c>
      <c r="F44" s="58">
        <f t="shared" si="15"/>
        <v>22441.56</v>
      </c>
    </row>
    <row r="45">
      <c r="A45" s="37" t="s">
        <v>700</v>
      </c>
      <c r="B45" s="54">
        <v>8070.86</v>
      </c>
      <c r="C45" s="52"/>
      <c r="E45" s="55">
        <v>5416.69</v>
      </c>
      <c r="F45" s="55">
        <v>3586.9</v>
      </c>
    </row>
    <row r="46">
      <c r="A46" s="41" t="s">
        <v>701</v>
      </c>
      <c r="B46" s="59">
        <f>sum(B42:B45)</f>
        <v>47857.63</v>
      </c>
      <c r="C46" s="57"/>
      <c r="E46" s="58">
        <f t="shared" ref="E46:F46" si="16">sum(E44:E45)</f>
        <v>34204.12</v>
      </c>
      <c r="F46" s="58">
        <f t="shared" si="16"/>
        <v>26028.46</v>
      </c>
    </row>
    <row r="47">
      <c r="A47" s="34" t="s">
        <v>702</v>
      </c>
      <c r="B47" s="60"/>
      <c r="C47" s="60"/>
      <c r="E47" s="36"/>
      <c r="F47" s="36"/>
    </row>
    <row r="48">
      <c r="A48" s="34" t="s">
        <v>703</v>
      </c>
      <c r="B48" s="60"/>
      <c r="C48" s="60"/>
      <c r="E48" s="36"/>
      <c r="F48" s="36"/>
    </row>
    <row r="49">
      <c r="A49" s="43" t="s">
        <v>704</v>
      </c>
      <c r="B49" s="61"/>
      <c r="C49" s="61"/>
      <c r="E49" s="32"/>
      <c r="F49" s="32"/>
    </row>
    <row r="50">
      <c r="A50" s="37" t="s">
        <v>705</v>
      </c>
      <c r="B50" s="55">
        <v>61608.57</v>
      </c>
      <c r="C50" s="52"/>
      <c r="E50" s="55">
        <v>30708.49</v>
      </c>
      <c r="F50" s="55">
        <v>32729.7</v>
      </c>
    </row>
    <row r="51">
      <c r="A51" s="37" t="s">
        <v>706</v>
      </c>
      <c r="B51" s="55">
        <v>4549.94</v>
      </c>
      <c r="C51" s="52"/>
      <c r="E51" s="55">
        <v>3510.7</v>
      </c>
      <c r="F51" s="55">
        <v>3207.79</v>
      </c>
    </row>
    <row r="52">
      <c r="A52" s="37" t="s">
        <v>707</v>
      </c>
      <c r="B52" s="53">
        <v>694.64</v>
      </c>
      <c r="C52" s="52"/>
      <c r="E52" s="55">
        <v>1410.4</v>
      </c>
      <c r="F52" s="55">
        <v>1156.56</v>
      </c>
    </row>
    <row r="53">
      <c r="A53" s="37" t="s">
        <v>708</v>
      </c>
      <c r="B53" s="55">
        <v>0.0</v>
      </c>
      <c r="C53" s="52"/>
      <c r="E53" s="53">
        <v>0.0</v>
      </c>
      <c r="F53" s="53">
        <v>3.03</v>
      </c>
    </row>
    <row r="54">
      <c r="A54" s="37" t="s">
        <v>709</v>
      </c>
      <c r="B54" s="55">
        <v>4807.88</v>
      </c>
      <c r="C54" s="52"/>
      <c r="E54" s="55">
        <v>1919.37</v>
      </c>
      <c r="F54" s="55">
        <v>1033.3</v>
      </c>
    </row>
    <row r="55">
      <c r="A55" s="37" t="s">
        <v>710</v>
      </c>
      <c r="B55" s="55">
        <v>3213.85</v>
      </c>
      <c r="C55" s="52"/>
      <c r="E55" s="55">
        <v>1420.02</v>
      </c>
      <c r="F55" s="55">
        <v>1218.18</v>
      </c>
    </row>
    <row r="56">
      <c r="A56" s="37" t="s">
        <v>711</v>
      </c>
      <c r="B56" s="55">
        <v>13411.97</v>
      </c>
      <c r="C56" s="52"/>
      <c r="E56" s="55">
        <v>9847.82</v>
      </c>
      <c r="F56" s="55">
        <v>8139.29</v>
      </c>
    </row>
    <row r="57">
      <c r="A57" s="41" t="s">
        <v>712</v>
      </c>
      <c r="B57" s="62">
        <f>sum(B50:B56)</f>
        <v>88286.85</v>
      </c>
      <c r="C57" s="57"/>
      <c r="E57" s="58">
        <f t="shared" ref="E57:F57" si="17">SUM(E50:E56)</f>
        <v>48816.8</v>
      </c>
      <c r="F57" s="58">
        <f t="shared" si="17"/>
        <v>47487.85</v>
      </c>
    </row>
    <row r="58">
      <c r="A58" s="34" t="s">
        <v>713</v>
      </c>
      <c r="B58" s="60"/>
      <c r="C58" s="60"/>
      <c r="E58" s="36"/>
      <c r="F58" s="36"/>
    </row>
    <row r="59">
      <c r="A59" s="43" t="s">
        <v>704</v>
      </c>
      <c r="B59" s="61"/>
      <c r="C59" s="61"/>
      <c r="E59" s="32"/>
      <c r="F59" s="32"/>
    </row>
    <row r="60">
      <c r="A60" s="37" t="s">
        <v>705</v>
      </c>
      <c r="B60" s="54">
        <v>9513.82</v>
      </c>
      <c r="C60" s="52"/>
      <c r="E60" s="55">
        <v>18265.94</v>
      </c>
      <c r="F60" s="55">
        <v>14860.3</v>
      </c>
    </row>
    <row r="61">
      <c r="A61" s="37" t="s">
        <v>706</v>
      </c>
      <c r="B61" s="54">
        <v>468.94</v>
      </c>
      <c r="C61" s="52"/>
      <c r="E61" s="53">
        <v>437.87</v>
      </c>
      <c r="F61" s="53">
        <v>397.33</v>
      </c>
    </row>
    <row r="62">
      <c r="A62" s="37" t="s">
        <v>714</v>
      </c>
      <c r="B62" s="54">
        <v>3647.97</v>
      </c>
      <c r="C62" s="52"/>
      <c r="E62" s="55">
        <v>7407.2</v>
      </c>
      <c r="F62" s="55">
        <v>10459.6</v>
      </c>
    </row>
    <row r="63">
      <c r="A63" s="37" t="s">
        <v>707</v>
      </c>
      <c r="B63" s="52"/>
      <c r="C63" s="52"/>
      <c r="E63" s="55">
        <v>13150.77</v>
      </c>
      <c r="F63" s="55">
        <v>9631.96</v>
      </c>
    </row>
    <row r="64">
      <c r="A64" s="37" t="s">
        <v>715</v>
      </c>
      <c r="B64" s="52"/>
      <c r="C64" s="52"/>
      <c r="E64" s="53">
        <v>217.96</v>
      </c>
      <c r="F64" s="53">
        <v>147.0</v>
      </c>
    </row>
    <row r="65">
      <c r="A65" s="37" t="s">
        <v>710</v>
      </c>
      <c r="B65" s="52"/>
      <c r="C65" s="52"/>
      <c r="E65" s="53">
        <v>311.07</v>
      </c>
      <c r="F65" s="53">
        <v>344.82</v>
      </c>
    </row>
    <row r="66">
      <c r="A66" s="37" t="s">
        <v>716</v>
      </c>
      <c r="B66" s="52"/>
      <c r="C66" s="52"/>
      <c r="E66" s="55">
        <v>4188.41</v>
      </c>
      <c r="F66" s="55">
        <v>2779.08</v>
      </c>
    </row>
    <row r="67">
      <c r="A67" s="41" t="s">
        <v>717</v>
      </c>
      <c r="B67" s="57"/>
      <c r="C67" s="57"/>
      <c r="E67" s="58">
        <f t="shared" ref="E67:F67" si="18">SUM(E60:E66)</f>
        <v>43979.22</v>
      </c>
      <c r="F67" s="58">
        <f t="shared" si="18"/>
        <v>38620.09</v>
      </c>
    </row>
    <row r="68">
      <c r="A68" s="37" t="s">
        <v>718</v>
      </c>
      <c r="B68" s="52"/>
      <c r="C68" s="52"/>
      <c r="E68" s="53">
        <v>113.56</v>
      </c>
      <c r="F68" s="53">
        <v>113.56</v>
      </c>
    </row>
    <row r="69">
      <c r="A69" s="41" t="s">
        <v>719</v>
      </c>
      <c r="B69" s="57"/>
      <c r="C69" s="57"/>
      <c r="E69" s="58">
        <f t="shared" ref="E69:F69" si="19">E57+E67+E68</f>
        <v>92909.58</v>
      </c>
      <c r="F69" s="58">
        <f t="shared" si="19"/>
        <v>86221.5</v>
      </c>
    </row>
    <row r="70">
      <c r="A70" s="37" t="s">
        <v>720</v>
      </c>
      <c r="B70" s="52"/>
      <c r="C70" s="52"/>
      <c r="E70" s="55">
        <v>1235.34</v>
      </c>
      <c r="F70" s="53">
        <v>634.63</v>
      </c>
    </row>
    <row r="71">
      <c r="A71" s="49" t="s">
        <v>721</v>
      </c>
      <c r="B71" s="63"/>
      <c r="C71" s="63"/>
      <c r="E71" s="64">
        <f t="shared" ref="E71:F71" si="20">E46+E69+E70</f>
        <v>128349.04</v>
      </c>
      <c r="F71" s="64">
        <f t="shared" si="20"/>
        <v>112884.59</v>
      </c>
    </row>
    <row r="72">
      <c r="A72" s="37"/>
      <c r="B72" s="32"/>
    </row>
    <row r="73">
      <c r="A73" s="37"/>
      <c r="B73" s="32"/>
    </row>
    <row r="74">
      <c r="A74" s="37"/>
      <c r="B74" s="32"/>
    </row>
    <row r="75">
      <c r="A75" s="65"/>
      <c r="B75" s="32"/>
    </row>
    <row r="76">
      <c r="A76" s="66"/>
      <c r="B76" s="32"/>
    </row>
  </sheetData>
  <mergeCells count="2">
    <mergeCell ref="A1:D1"/>
    <mergeCell ref="H1:K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86"/>
    <col customWidth="1" min="2" max="2" width="18.29"/>
    <col customWidth="1" min="3" max="3" width="17.71"/>
    <col customWidth="1" min="4" max="4" width="17.57"/>
    <col customWidth="1" min="5" max="5" width="17.29"/>
  </cols>
  <sheetData>
    <row r="1">
      <c r="A1" s="67" t="s">
        <v>242</v>
      </c>
      <c r="B1" s="67" t="s">
        <v>722</v>
      </c>
      <c r="C1" s="67" t="s">
        <v>723</v>
      </c>
      <c r="D1" s="67" t="s">
        <v>724</v>
      </c>
      <c r="E1" s="67" t="s">
        <v>725</v>
      </c>
      <c r="F1" s="67" t="s">
        <v>726</v>
      </c>
    </row>
    <row r="2">
      <c r="A2" s="68" t="s">
        <v>626</v>
      </c>
      <c r="B2" s="69"/>
      <c r="C2" s="69"/>
      <c r="D2" s="69"/>
      <c r="E2" s="69"/>
      <c r="F2" s="69"/>
    </row>
    <row r="3">
      <c r="A3" s="68" t="s">
        <v>628</v>
      </c>
      <c r="B3" s="69"/>
      <c r="C3" s="69"/>
      <c r="D3" s="69"/>
      <c r="E3" s="69"/>
      <c r="F3" s="69"/>
    </row>
    <row r="4">
      <c r="A4" s="70" t="s">
        <v>727</v>
      </c>
      <c r="B4" s="71">
        <v>24200.83</v>
      </c>
      <c r="C4" s="71">
        <v>23028.29</v>
      </c>
      <c r="D4" s="71">
        <v>20653.68</v>
      </c>
      <c r="E4" s="71">
        <v>18115.94</v>
      </c>
      <c r="F4" s="70">
        <v>16759.39</v>
      </c>
    </row>
    <row r="5">
      <c r="A5" s="70" t="s">
        <v>634</v>
      </c>
      <c r="B5" s="71">
        <v>6961.53</v>
      </c>
      <c r="C5" s="71">
        <v>2249.81</v>
      </c>
      <c r="D5" s="71">
        <v>2472.36</v>
      </c>
      <c r="E5" s="71">
        <v>2624.69</v>
      </c>
      <c r="F5" s="70">
        <v>1297.27</v>
      </c>
    </row>
    <row r="6">
      <c r="A6" s="70" t="s">
        <v>728</v>
      </c>
      <c r="B6" s="71">
        <v>4791.5</v>
      </c>
      <c r="C6" s="71">
        <v>2675.23</v>
      </c>
      <c r="D6" s="71">
        <v>1760.08</v>
      </c>
      <c r="E6" s="70">
        <v>874.31</v>
      </c>
      <c r="F6" s="70"/>
    </row>
    <row r="7">
      <c r="A7" s="68" t="s">
        <v>729</v>
      </c>
      <c r="B7" s="72">
        <v>35953.86</v>
      </c>
      <c r="C7" s="72">
        <v>27953.33</v>
      </c>
      <c r="D7" s="72">
        <v>24886.12</v>
      </c>
      <c r="E7" s="72">
        <v>21894.0</v>
      </c>
      <c r="F7" s="70"/>
    </row>
    <row r="8">
      <c r="A8" s="68" t="s">
        <v>662</v>
      </c>
      <c r="B8" s="72">
        <v>9239.42</v>
      </c>
      <c r="C8" s="72">
        <v>8620.05</v>
      </c>
      <c r="D8" s="72">
        <v>8506.36</v>
      </c>
      <c r="E8" s="72">
        <v>8016.18</v>
      </c>
      <c r="F8" s="70"/>
    </row>
    <row r="9">
      <c r="A9" s="68" t="s">
        <v>730</v>
      </c>
      <c r="B9" s="72">
        <v>45193.28</v>
      </c>
      <c r="C9" s="72">
        <v>36573.38</v>
      </c>
      <c r="D9" s="72">
        <v>33392.48</v>
      </c>
      <c r="E9" s="72">
        <v>29910.18</v>
      </c>
      <c r="F9" s="70"/>
    </row>
    <row r="10">
      <c r="A10" s="68" t="s">
        <v>731</v>
      </c>
      <c r="B10" s="69"/>
      <c r="C10" s="69"/>
      <c r="D10" s="69"/>
      <c r="E10" s="69"/>
      <c r="F10" s="69"/>
    </row>
    <row r="11">
      <c r="A11" s="70" t="s">
        <v>697</v>
      </c>
      <c r="B11" s="70">
        <v>503.9</v>
      </c>
      <c r="C11" s="70">
        <v>503.9</v>
      </c>
      <c r="D11" s="70">
        <v>480.62</v>
      </c>
      <c r="E11" s="70">
        <v>480.62</v>
      </c>
      <c r="F11" s="70"/>
    </row>
    <row r="12">
      <c r="A12" s="70" t="s">
        <v>698</v>
      </c>
      <c r="B12" s="71">
        <v>18571.43</v>
      </c>
      <c r="C12" s="71">
        <v>17111.41</v>
      </c>
      <c r="D12" s="71">
        <v>11581.09</v>
      </c>
      <c r="E12" s="71">
        <v>10529.0</v>
      </c>
      <c r="F12" s="70"/>
    </row>
    <row r="13">
      <c r="A13" s="68" t="s">
        <v>732</v>
      </c>
      <c r="B13" s="72">
        <v>19075.33</v>
      </c>
      <c r="C13" s="72">
        <v>17615.31</v>
      </c>
      <c r="D13" s="72">
        <v>12061.71</v>
      </c>
      <c r="E13" s="72">
        <v>11009.62</v>
      </c>
      <c r="F13" s="70"/>
    </row>
    <row r="14">
      <c r="A14" s="70" t="s">
        <v>733</v>
      </c>
      <c r="B14" s="70">
        <v>633.42</v>
      </c>
      <c r="C14" s="70">
        <v>600.47</v>
      </c>
      <c r="D14" s="70">
        <v>535.79</v>
      </c>
      <c r="E14" s="70">
        <v>446.33</v>
      </c>
      <c r="F14" s="70"/>
    </row>
    <row r="15">
      <c r="A15" s="68" t="s">
        <v>701</v>
      </c>
      <c r="B15" s="72">
        <v>19708.75</v>
      </c>
      <c r="C15" s="72">
        <v>18215.78</v>
      </c>
      <c r="D15" s="72">
        <v>12597.5</v>
      </c>
      <c r="E15" s="72">
        <v>11455.95</v>
      </c>
      <c r="F15" s="70"/>
    </row>
    <row r="16">
      <c r="A16" s="68" t="s">
        <v>703</v>
      </c>
      <c r="B16" s="69"/>
      <c r="C16" s="69"/>
      <c r="D16" s="69"/>
      <c r="E16" s="69"/>
      <c r="F16" s="69"/>
    </row>
    <row r="17">
      <c r="A17" s="70" t="s">
        <v>734</v>
      </c>
      <c r="B17" s="71">
        <v>11871.42</v>
      </c>
      <c r="C17" s="71">
        <v>7310.21</v>
      </c>
      <c r="D17" s="71">
        <v>9916.4</v>
      </c>
      <c r="E17" s="71">
        <v>9131.0</v>
      </c>
      <c r="F17" s="70"/>
    </row>
    <row r="18">
      <c r="A18" s="70" t="s">
        <v>735</v>
      </c>
      <c r="B18" s="71">
        <v>3900.02</v>
      </c>
      <c r="C18" s="71">
        <v>3457.9</v>
      </c>
      <c r="D18" s="71">
        <v>3065.49</v>
      </c>
      <c r="E18" s="71">
        <v>2752.0</v>
      </c>
      <c r="F18" s="70"/>
    </row>
    <row r="19">
      <c r="A19" s="68" t="s">
        <v>712</v>
      </c>
      <c r="B19" s="72">
        <v>15771.44</v>
      </c>
      <c r="C19" s="72">
        <v>10768.11</v>
      </c>
      <c r="D19" s="72">
        <v>12981.89</v>
      </c>
      <c r="E19" s="72">
        <v>11883.0</v>
      </c>
      <c r="F19" s="70"/>
    </row>
    <row r="20">
      <c r="A20" s="68" t="s">
        <v>713</v>
      </c>
      <c r="B20" s="72">
        <v>9713.09</v>
      </c>
      <c r="C20" s="72">
        <v>7589.49</v>
      </c>
      <c r="D20" s="72">
        <v>7813.09</v>
      </c>
      <c r="E20" s="72">
        <v>6571.23</v>
      </c>
      <c r="F20" s="70"/>
    </row>
    <row r="21">
      <c r="A21" s="68" t="s">
        <v>736</v>
      </c>
      <c r="B21" s="72">
        <v>45193.28</v>
      </c>
      <c r="C21" s="72">
        <v>36573.38</v>
      </c>
      <c r="D21" s="72">
        <v>33392.48</v>
      </c>
      <c r="E21" s="72">
        <v>29910.18</v>
      </c>
      <c r="F21" s="7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14"/>
  </cols>
  <sheetData>
    <row r="1">
      <c r="A1" s="67" t="s">
        <v>242</v>
      </c>
      <c r="B1" s="67" t="s">
        <v>737</v>
      </c>
      <c r="C1" s="67" t="s">
        <v>738</v>
      </c>
      <c r="D1" s="67" t="s">
        <v>739</v>
      </c>
      <c r="E1" s="67" t="s">
        <v>740</v>
      </c>
      <c r="F1" s="67"/>
    </row>
    <row r="2">
      <c r="A2" s="68" t="s">
        <v>741</v>
      </c>
      <c r="B2" s="69"/>
      <c r="C2" s="69"/>
      <c r="D2" s="69"/>
      <c r="E2" s="69"/>
      <c r="F2" s="69"/>
    </row>
    <row r="3">
      <c r="A3" s="70" t="s">
        <v>627</v>
      </c>
      <c r="B3" s="71">
        <v>28966.31</v>
      </c>
      <c r="C3" s="71">
        <v>29165.26</v>
      </c>
      <c r="D3" s="71">
        <v>27183.21</v>
      </c>
      <c r="E3" s="71">
        <v>25694.12</v>
      </c>
      <c r="F3" s="70"/>
    </row>
    <row r="4">
      <c r="A4" s="70" t="s">
        <v>629</v>
      </c>
      <c r="B4" s="70">
        <v>322.61</v>
      </c>
      <c r="C4" s="70">
        <v>487.21</v>
      </c>
      <c r="D4" s="70">
        <v>344.32</v>
      </c>
      <c r="E4" s="70">
        <v>381.85</v>
      </c>
      <c r="F4" s="70"/>
    </row>
    <row r="5">
      <c r="A5" s="68" t="s">
        <v>631</v>
      </c>
      <c r="B5" s="72">
        <v>29288.92</v>
      </c>
      <c r="C5" s="72">
        <v>29652.47</v>
      </c>
      <c r="D5" s="72">
        <v>27527.53</v>
      </c>
      <c r="E5" s="72">
        <v>26075.97</v>
      </c>
      <c r="F5" s="70"/>
    </row>
    <row r="6">
      <c r="A6" s="68" t="s">
        <v>742</v>
      </c>
      <c r="B6" s="69"/>
      <c r="C6" s="69"/>
      <c r="D6" s="69"/>
      <c r="E6" s="69"/>
      <c r="F6" s="69"/>
    </row>
    <row r="7">
      <c r="A7" s="70" t="s">
        <v>743</v>
      </c>
      <c r="B7" s="71">
        <v>15053.7</v>
      </c>
      <c r="C7" s="71">
        <v>15289.81</v>
      </c>
      <c r="D7" s="71">
        <v>13743.27</v>
      </c>
      <c r="E7" s="71">
        <v>14440.53</v>
      </c>
      <c r="F7" s="70"/>
    </row>
    <row r="8">
      <c r="A8" s="70" t="s">
        <v>744</v>
      </c>
      <c r="B8" s="71">
        <v>3944.21</v>
      </c>
      <c r="C8" s="71">
        <v>4877.69</v>
      </c>
      <c r="D8" s="71">
        <v>5647.95</v>
      </c>
      <c r="E8" s="71">
        <v>2508.23</v>
      </c>
      <c r="F8" s="70"/>
    </row>
    <row r="9">
      <c r="A9" s="70" t="s">
        <v>745</v>
      </c>
      <c r="B9" s="70" t="s">
        <v>746</v>
      </c>
      <c r="C9" s="70">
        <v>213.46</v>
      </c>
      <c r="D9" s="70">
        <v>406.5</v>
      </c>
      <c r="E9" s="70">
        <v>334.81</v>
      </c>
      <c r="F9" s="70"/>
    </row>
    <row r="10">
      <c r="A10" s="70" t="s">
        <v>747</v>
      </c>
      <c r="B10" s="70">
        <v>705.8</v>
      </c>
      <c r="C10" s="70">
        <v>689.96</v>
      </c>
      <c r="D10" s="70">
        <v>611.19</v>
      </c>
      <c r="E10" s="70">
        <v>578.25</v>
      </c>
      <c r="F10" s="70"/>
    </row>
    <row r="11">
      <c r="A11" s="70" t="s">
        <v>649</v>
      </c>
      <c r="B11" s="70">
        <v>934.47</v>
      </c>
      <c r="C11" s="71">
        <v>1044.87</v>
      </c>
      <c r="D11" s="70">
        <v>943.4</v>
      </c>
      <c r="E11" s="70">
        <v>818.2</v>
      </c>
      <c r="F11" s="70"/>
    </row>
    <row r="12">
      <c r="A12" s="70" t="s">
        <v>748</v>
      </c>
      <c r="B12" s="71">
        <v>1612.75</v>
      </c>
      <c r="C12" s="71">
        <v>1497.12</v>
      </c>
      <c r="D12" s="71">
        <v>1377.5</v>
      </c>
      <c r="E12" s="71">
        <v>1280.96</v>
      </c>
      <c r="F12" s="70"/>
    </row>
    <row r="13">
      <c r="A13" s="70" t="s">
        <v>653</v>
      </c>
      <c r="B13" s="71">
        <v>2127.55</v>
      </c>
      <c r="C13" s="71">
        <v>1682.96</v>
      </c>
      <c r="D13" s="71">
        <v>1504.14</v>
      </c>
      <c r="E13" s="71">
        <v>1223.56</v>
      </c>
      <c r="F13" s="70"/>
    </row>
    <row r="14">
      <c r="A14" s="68" t="s">
        <v>655</v>
      </c>
      <c r="B14" s="72">
        <v>25972.15</v>
      </c>
      <c r="C14" s="72">
        <v>26399.89</v>
      </c>
      <c r="D14" s="72">
        <v>24944.93</v>
      </c>
      <c r="E14" s="72">
        <v>23034.61</v>
      </c>
      <c r="F14" s="70"/>
    </row>
    <row r="15">
      <c r="A15" s="68" t="s">
        <v>749</v>
      </c>
      <c r="B15" s="72">
        <v>3316.77</v>
      </c>
      <c r="C15" s="72">
        <v>3252.58</v>
      </c>
      <c r="D15" s="72">
        <v>2582.6</v>
      </c>
      <c r="E15" s="72">
        <v>3041.36</v>
      </c>
      <c r="F15" s="70"/>
    </row>
    <row r="16">
      <c r="A16" s="70" t="s">
        <v>750</v>
      </c>
      <c r="B16" s="70">
        <v>847.41</v>
      </c>
      <c r="C16" s="70">
        <v>193.97</v>
      </c>
      <c r="D16" s="70">
        <v>686.6</v>
      </c>
      <c r="E16" s="70">
        <v>876.69</v>
      </c>
      <c r="F16" s="70"/>
    </row>
    <row r="17">
      <c r="A17" s="68" t="s">
        <v>751</v>
      </c>
      <c r="B17" s="72">
        <v>2469.36</v>
      </c>
      <c r="C17" s="72">
        <v>3058.61</v>
      </c>
      <c r="D17" s="72">
        <v>1896.0</v>
      </c>
      <c r="E17" s="72">
        <v>2164.67</v>
      </c>
      <c r="F17" s="70"/>
    </row>
    <row r="18">
      <c r="A18" s="68" t="s">
        <v>752</v>
      </c>
      <c r="B18" s="72">
        <v>2514.21</v>
      </c>
      <c r="C18" s="72">
        <v>3059.16</v>
      </c>
      <c r="D18" s="72">
        <v>1881.95</v>
      </c>
      <c r="E18" s="72">
        <v>2170.83</v>
      </c>
      <c r="F18" s="7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57"/>
    <col customWidth="1" min="2" max="2" width="5.86"/>
    <col customWidth="1" min="3" max="3" width="19.0"/>
    <col customWidth="1" min="4" max="4" width="29.71"/>
  </cols>
  <sheetData>
    <row r="1">
      <c r="A1" s="73" t="s">
        <v>242</v>
      </c>
      <c r="B1" s="73" t="s">
        <v>753</v>
      </c>
      <c r="C1" s="73" t="s">
        <v>754</v>
      </c>
      <c r="D1" s="73" t="s">
        <v>755</v>
      </c>
    </row>
    <row r="2">
      <c r="A2" s="74" t="s">
        <v>626</v>
      </c>
    </row>
    <row r="3">
      <c r="A3" s="74" t="s">
        <v>756</v>
      </c>
    </row>
    <row r="4">
      <c r="A4" s="75" t="s">
        <v>727</v>
      </c>
      <c r="B4" s="76">
        <v>4.1</v>
      </c>
      <c r="C4" s="77">
        <v>46380.45</v>
      </c>
      <c r="D4" s="77">
        <v>49139.79</v>
      </c>
    </row>
    <row r="5">
      <c r="A5" s="75" t="s">
        <v>757</v>
      </c>
      <c r="B5" s="76">
        <v>4.1</v>
      </c>
      <c r="C5" s="78">
        <v>188.33</v>
      </c>
      <c r="D5" s="78">
        <v>184.3</v>
      </c>
    </row>
    <row r="6">
      <c r="A6" s="75" t="s">
        <v>636</v>
      </c>
      <c r="B6" s="76">
        <v>4.2</v>
      </c>
      <c r="C6" s="78">
        <v>190.61</v>
      </c>
      <c r="D6" s="78">
        <v>190.61</v>
      </c>
    </row>
    <row r="7">
      <c r="A7" s="75" t="s">
        <v>638</v>
      </c>
      <c r="B7" s="76">
        <v>4.3</v>
      </c>
      <c r="C7" s="78">
        <v>11.73</v>
      </c>
      <c r="D7" s="78">
        <v>11.88</v>
      </c>
    </row>
    <row r="8">
      <c r="A8" s="75" t="s">
        <v>758</v>
      </c>
      <c r="B8" s="76">
        <v>5.0</v>
      </c>
      <c r="C8" s="77">
        <v>6373.48</v>
      </c>
      <c r="D8" s="77">
        <v>4658.49</v>
      </c>
    </row>
    <row r="9">
      <c r="A9" s="75" t="s">
        <v>759</v>
      </c>
      <c r="B9" s="76">
        <v>6.0</v>
      </c>
      <c r="C9" s="77">
        <v>1251.78</v>
      </c>
      <c r="D9" s="78">
        <v>609.54</v>
      </c>
    </row>
    <row r="10">
      <c r="A10" s="75" t="s">
        <v>760</v>
      </c>
      <c r="B10" s="76">
        <v>7.0</v>
      </c>
      <c r="C10" s="78">
        <v>546.39</v>
      </c>
      <c r="D10" s="78">
        <v>782.09</v>
      </c>
    </row>
    <row r="11">
      <c r="A11" s="75" t="s">
        <v>658</v>
      </c>
      <c r="B11" s="76">
        <v>8.0</v>
      </c>
      <c r="C11" s="78">
        <v>691.05</v>
      </c>
      <c r="D11" s="78">
        <v>639.57</v>
      </c>
    </row>
    <row r="12">
      <c r="A12" s="79" t="s">
        <v>660</v>
      </c>
      <c r="B12" s="80"/>
      <c r="C12" s="81">
        <f t="shared" ref="C12:D12" si="1">SUM(C4:C11)</f>
        <v>55633.82</v>
      </c>
      <c r="D12" s="81">
        <f t="shared" si="1"/>
        <v>56216.27</v>
      </c>
    </row>
    <row r="13">
      <c r="A13" s="32"/>
      <c r="B13" s="32"/>
      <c r="C13" s="32"/>
      <c r="D13" s="32"/>
    </row>
    <row r="14">
      <c r="A14" s="74" t="s">
        <v>662</v>
      </c>
    </row>
    <row r="15">
      <c r="A15" s="75" t="s">
        <v>664</v>
      </c>
      <c r="B15" s="76">
        <v>9.0</v>
      </c>
      <c r="C15" s="77">
        <v>2324.07</v>
      </c>
      <c r="D15" s="77">
        <v>2208.07</v>
      </c>
    </row>
    <row r="16">
      <c r="A16" s="75" t="s">
        <v>761</v>
      </c>
      <c r="B16" s="76">
        <v>10.0</v>
      </c>
      <c r="C16" s="78" t="s">
        <v>746</v>
      </c>
      <c r="D16" s="78">
        <v>175.01</v>
      </c>
    </row>
    <row r="17">
      <c r="A17" s="75" t="s">
        <v>646</v>
      </c>
      <c r="B17" s="76">
        <v>11.0</v>
      </c>
      <c r="C17" s="77">
        <v>11380.93</v>
      </c>
      <c r="D17" s="77">
        <v>9490.01</v>
      </c>
    </row>
    <row r="18">
      <c r="A18" s="75" t="s">
        <v>672</v>
      </c>
      <c r="B18" s="76">
        <v>12.0</v>
      </c>
      <c r="C18" s="78">
        <v>193.76</v>
      </c>
      <c r="D18" s="78">
        <v>574.52</v>
      </c>
    </row>
    <row r="19">
      <c r="A19" s="75" t="s">
        <v>762</v>
      </c>
      <c r="B19" s="76">
        <v>13.0</v>
      </c>
      <c r="C19" s="77">
        <v>1498.58</v>
      </c>
      <c r="D19" s="77">
        <v>1440.43</v>
      </c>
    </row>
    <row r="20">
      <c r="A20" s="75" t="s">
        <v>763</v>
      </c>
      <c r="B20" s="76">
        <v>14.0</v>
      </c>
      <c r="C20" s="78">
        <v>3.06</v>
      </c>
      <c r="D20" s="78">
        <v>3.18</v>
      </c>
    </row>
    <row r="21">
      <c r="A21" s="75" t="s">
        <v>764</v>
      </c>
      <c r="B21" s="76">
        <v>15.0</v>
      </c>
      <c r="C21" s="78">
        <v>244.12</v>
      </c>
      <c r="D21" s="78">
        <v>302.11</v>
      </c>
    </row>
    <row r="22">
      <c r="A22" s="75" t="s">
        <v>681</v>
      </c>
      <c r="B22" s="76">
        <v>16.0</v>
      </c>
      <c r="C22" s="77">
        <v>1553.61</v>
      </c>
      <c r="D22" s="77">
        <v>1356.58</v>
      </c>
    </row>
    <row r="23">
      <c r="A23" s="79" t="s">
        <v>683</v>
      </c>
      <c r="B23" s="80"/>
      <c r="C23" s="81">
        <f t="shared" ref="C23:D23" si="2">SUM(C15:C22)</f>
        <v>17198.13</v>
      </c>
      <c r="D23" s="81">
        <f t="shared" si="2"/>
        <v>15549.91</v>
      </c>
    </row>
    <row r="24">
      <c r="A24" s="32"/>
      <c r="B24" s="32"/>
      <c r="C24" s="32"/>
      <c r="D24" s="32"/>
    </row>
    <row r="25">
      <c r="A25" s="82" t="s">
        <v>691</v>
      </c>
      <c r="B25" s="83"/>
      <c r="C25" s="84">
        <f t="shared" ref="C25:D25" si="3">SUM(C12+C23)</f>
        <v>72831.95</v>
      </c>
      <c r="D25" s="84">
        <f t="shared" si="3"/>
        <v>71766.18</v>
      </c>
    </row>
    <row r="26">
      <c r="A26" s="32"/>
      <c r="B26" s="32"/>
      <c r="C26" s="32"/>
      <c r="D26" s="32"/>
    </row>
    <row r="27">
      <c r="A27" s="32"/>
      <c r="B27" s="32"/>
      <c r="C27" s="32"/>
      <c r="D27" s="32"/>
    </row>
    <row r="28">
      <c r="A28" s="74" t="s">
        <v>694</v>
      </c>
    </row>
    <row r="29">
      <c r="A29" s="74" t="s">
        <v>696</v>
      </c>
    </row>
    <row r="30">
      <c r="A30" s="75" t="s">
        <v>697</v>
      </c>
      <c r="B30" s="76">
        <v>17.0</v>
      </c>
      <c r="C30" s="77">
        <v>3856.94</v>
      </c>
      <c r="D30" s="77">
        <v>3856.94</v>
      </c>
    </row>
    <row r="31">
      <c r="A31" s="75" t="s">
        <v>765</v>
      </c>
      <c r="B31" s="76">
        <v>18.0</v>
      </c>
      <c r="C31" s="77">
        <v>13215.0</v>
      </c>
      <c r="D31" s="77">
        <v>13215.0</v>
      </c>
    </row>
    <row r="32">
      <c r="A32" s="75" t="s">
        <v>698</v>
      </c>
      <c r="B32" s="76">
        <v>19.0</v>
      </c>
      <c r="C32" s="77">
        <v>11151.93</v>
      </c>
      <c r="D32" s="77">
        <v>1391.95</v>
      </c>
    </row>
    <row r="33">
      <c r="A33" s="79" t="s">
        <v>701</v>
      </c>
      <c r="B33" s="80"/>
      <c r="C33" s="81">
        <f t="shared" ref="C33:D33" si="4">SUM(C30:C32)</f>
        <v>28223.87</v>
      </c>
      <c r="D33" s="81">
        <f t="shared" si="4"/>
        <v>18463.89</v>
      </c>
    </row>
    <row r="34">
      <c r="A34" s="32"/>
      <c r="B34" s="32"/>
      <c r="C34" s="32"/>
      <c r="D34" s="32"/>
    </row>
    <row r="35">
      <c r="A35" s="74" t="s">
        <v>766</v>
      </c>
    </row>
    <row r="36">
      <c r="A36" s="75" t="s">
        <v>767</v>
      </c>
      <c r="B36" s="76">
        <v>20.0</v>
      </c>
      <c r="C36" s="77">
        <v>24978.63</v>
      </c>
      <c r="D36" s="77">
        <v>30462.45</v>
      </c>
    </row>
    <row r="37">
      <c r="A37" s="75" t="s">
        <v>768</v>
      </c>
      <c r="B37" s="76">
        <v>21.0</v>
      </c>
      <c r="C37" s="78">
        <v>87.76</v>
      </c>
      <c r="D37" s="78">
        <v>93.49</v>
      </c>
    </row>
    <row r="38">
      <c r="A38" s="75" t="s">
        <v>769</v>
      </c>
      <c r="B38" s="76">
        <v>22.0</v>
      </c>
      <c r="C38" s="78">
        <v>286.21</v>
      </c>
      <c r="D38" s="78">
        <v>205.69</v>
      </c>
    </row>
    <row r="39">
      <c r="A39" s="75" t="s">
        <v>770</v>
      </c>
      <c r="B39" s="76">
        <v>23.0</v>
      </c>
      <c r="C39" s="78">
        <v>148.32</v>
      </c>
      <c r="D39" s="78">
        <v>132.38</v>
      </c>
    </row>
    <row r="40">
      <c r="A40" s="75" t="s">
        <v>709</v>
      </c>
      <c r="B40" s="76">
        <v>24.0</v>
      </c>
      <c r="C40" s="78" t="s">
        <v>746</v>
      </c>
      <c r="D40" s="77">
        <v>2303.87</v>
      </c>
    </row>
    <row r="41">
      <c r="A41" s="75" t="s">
        <v>711</v>
      </c>
      <c r="B41" s="76">
        <v>25.0</v>
      </c>
      <c r="C41" s="77">
        <v>4183.15</v>
      </c>
      <c r="D41" s="77">
        <v>4487.21</v>
      </c>
    </row>
    <row r="42">
      <c r="A42" s="79" t="s">
        <v>771</v>
      </c>
      <c r="B42" s="80"/>
      <c r="C42" s="81">
        <f t="shared" ref="C42:D42" si="5">SUM(C36:C41)</f>
        <v>29684.07</v>
      </c>
      <c r="D42" s="81">
        <f t="shared" si="5"/>
        <v>37685.09</v>
      </c>
    </row>
    <row r="43">
      <c r="A43" s="32"/>
      <c r="B43" s="32"/>
      <c r="C43" s="32"/>
      <c r="D43" s="32"/>
    </row>
    <row r="44">
      <c r="A44" s="74" t="s">
        <v>713</v>
      </c>
    </row>
    <row r="45">
      <c r="A45" s="75" t="s">
        <v>772</v>
      </c>
      <c r="B45" s="76">
        <v>26.0</v>
      </c>
      <c r="C45" s="77">
        <v>7827.72</v>
      </c>
      <c r="D45" s="77">
        <v>9932.8</v>
      </c>
    </row>
    <row r="46">
      <c r="A46" s="75" t="s">
        <v>773</v>
      </c>
      <c r="B46" s="76">
        <v>27.0</v>
      </c>
      <c r="C46" s="78">
        <v>8.75</v>
      </c>
      <c r="D46" s="78">
        <v>7.98</v>
      </c>
    </row>
    <row r="47">
      <c r="A47" s="75" t="s">
        <v>774</v>
      </c>
      <c r="B47" s="76">
        <v>28.0</v>
      </c>
      <c r="C47" s="78">
        <v>82.38</v>
      </c>
      <c r="D47" s="78">
        <v>52.93</v>
      </c>
    </row>
    <row r="48">
      <c r="A48" s="75" t="s">
        <v>775</v>
      </c>
      <c r="B48" s="76">
        <v>28.0</v>
      </c>
      <c r="C48" s="77">
        <v>2305.0</v>
      </c>
      <c r="D48" s="77">
        <v>3395.63</v>
      </c>
    </row>
    <row r="49">
      <c r="A49" s="75" t="s">
        <v>776</v>
      </c>
      <c r="B49" s="76">
        <v>29.0</v>
      </c>
      <c r="C49" s="77">
        <v>1075.08</v>
      </c>
      <c r="D49" s="78">
        <v>714.68</v>
      </c>
    </row>
    <row r="50">
      <c r="A50" s="75" t="s">
        <v>716</v>
      </c>
      <c r="B50" s="76">
        <v>30.0</v>
      </c>
      <c r="C50" s="77">
        <v>3611.69</v>
      </c>
      <c r="D50" s="78">
        <v>854.92</v>
      </c>
    </row>
    <row r="51">
      <c r="A51" s="75" t="s">
        <v>777</v>
      </c>
      <c r="B51" s="76">
        <v>31.0</v>
      </c>
      <c r="C51" s="78">
        <v>13.39</v>
      </c>
      <c r="D51" s="78">
        <v>12.94</v>
      </c>
    </row>
    <row r="52">
      <c r="A52" s="75" t="s">
        <v>715</v>
      </c>
      <c r="B52" s="76">
        <v>32.0</v>
      </c>
      <c r="C52" s="78" t="s">
        <v>746</v>
      </c>
      <c r="D52" s="78">
        <v>645.32</v>
      </c>
    </row>
    <row r="53">
      <c r="A53" s="79" t="s">
        <v>717</v>
      </c>
      <c r="B53" s="80"/>
      <c r="C53" s="81">
        <f t="shared" ref="C53:D53" si="6">SUM(C45:C52)</f>
        <v>14924.01</v>
      </c>
      <c r="D53" s="81">
        <f t="shared" si="6"/>
        <v>15617.2</v>
      </c>
    </row>
    <row r="54">
      <c r="A54" s="32"/>
      <c r="B54" s="32"/>
      <c r="C54" s="32"/>
      <c r="D54" s="32"/>
    </row>
    <row r="55">
      <c r="A55" s="79" t="s">
        <v>778</v>
      </c>
      <c r="B55" s="80"/>
      <c r="C55" s="81">
        <v>44608.08</v>
      </c>
      <c r="D55" s="81">
        <v>53302.29</v>
      </c>
    </row>
    <row r="56">
      <c r="A56" s="32"/>
      <c r="B56" s="32"/>
      <c r="C56" s="32"/>
      <c r="D56" s="32"/>
    </row>
    <row r="57">
      <c r="A57" s="82" t="s">
        <v>721</v>
      </c>
      <c r="B57" s="83"/>
      <c r="C57" s="84">
        <f t="shared" ref="C57:D57" si="7">C55+C33</f>
        <v>72831.95</v>
      </c>
      <c r="D57" s="84">
        <f t="shared" si="7"/>
        <v>71766.18</v>
      </c>
    </row>
  </sheetData>
  <mergeCells count="7">
    <mergeCell ref="A2:D2"/>
    <mergeCell ref="A3:D3"/>
    <mergeCell ref="A14:D14"/>
    <mergeCell ref="A28:D28"/>
    <mergeCell ref="A29:D29"/>
    <mergeCell ref="A35:D35"/>
    <mergeCell ref="A44:D4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3.14"/>
    <col customWidth="1" min="3" max="3" width="25.0"/>
    <col customWidth="1" min="4" max="4" width="35.86"/>
  </cols>
  <sheetData>
    <row r="1">
      <c r="A1" s="73" t="s">
        <v>242</v>
      </c>
      <c r="B1" s="73" t="s">
        <v>753</v>
      </c>
      <c r="C1" s="73" t="s">
        <v>779</v>
      </c>
      <c r="D1" s="73" t="s">
        <v>780</v>
      </c>
    </row>
    <row r="2">
      <c r="A2" s="74" t="s">
        <v>781</v>
      </c>
    </row>
    <row r="3">
      <c r="A3" s="75" t="s">
        <v>627</v>
      </c>
      <c r="B3" s="76">
        <v>33.0</v>
      </c>
      <c r="C3" s="77">
        <v>36681.21</v>
      </c>
      <c r="D3" s="77">
        <v>27711.18</v>
      </c>
    </row>
    <row r="4">
      <c r="A4" s="75" t="s">
        <v>629</v>
      </c>
      <c r="B4" s="76">
        <v>34.0</v>
      </c>
      <c r="C4" s="77">
        <v>4519.98</v>
      </c>
      <c r="D4" s="77">
        <v>4068.32</v>
      </c>
    </row>
    <row r="5">
      <c r="A5" s="79" t="s">
        <v>631</v>
      </c>
      <c r="B5" s="80"/>
      <c r="C5" s="81">
        <f t="shared" ref="C5:D5" si="1">SUM(C3:C4)</f>
        <v>41201.19</v>
      </c>
      <c r="D5" s="81">
        <f t="shared" si="1"/>
        <v>31779.5</v>
      </c>
    </row>
    <row r="6">
      <c r="A6" s="32"/>
      <c r="B6" s="32"/>
      <c r="C6" s="32"/>
      <c r="D6" s="32"/>
    </row>
    <row r="7">
      <c r="A7" s="74" t="s">
        <v>633</v>
      </c>
    </row>
    <row r="8">
      <c r="A8" s="75" t="s">
        <v>744</v>
      </c>
      <c r="B8" s="85"/>
      <c r="C8" s="77">
        <v>24551.98</v>
      </c>
      <c r="D8" s="77">
        <v>14762.21</v>
      </c>
    </row>
    <row r="9">
      <c r="A9" s="75" t="s">
        <v>782</v>
      </c>
      <c r="B9" s="76">
        <v>35.0</v>
      </c>
      <c r="C9" s="78">
        <v>209.58</v>
      </c>
      <c r="D9" s="78">
        <v>545.56</v>
      </c>
    </row>
    <row r="10">
      <c r="A10" s="75" t="s">
        <v>639</v>
      </c>
      <c r="B10" s="85"/>
      <c r="C10" s="78">
        <v>469.85</v>
      </c>
      <c r="D10" s="78">
        <v>642.77</v>
      </c>
    </row>
    <row r="11">
      <c r="A11" s="75" t="s">
        <v>747</v>
      </c>
      <c r="B11" s="76">
        <v>36.0</v>
      </c>
      <c r="C11" s="78">
        <v>530.36</v>
      </c>
      <c r="D11" s="78">
        <v>470.21</v>
      </c>
    </row>
    <row r="12">
      <c r="A12" s="75" t="s">
        <v>649</v>
      </c>
      <c r="B12" s="76">
        <v>37.0</v>
      </c>
      <c r="C12" s="77">
        <v>3306.8</v>
      </c>
      <c r="D12" s="77">
        <v>4086.92</v>
      </c>
    </row>
    <row r="13">
      <c r="A13" s="75" t="s">
        <v>783</v>
      </c>
      <c r="B13" s="76" t="s">
        <v>784</v>
      </c>
      <c r="C13" s="77">
        <v>3142.79</v>
      </c>
      <c r="D13" s="77">
        <v>3116.21</v>
      </c>
    </row>
    <row r="14">
      <c r="A14" s="75" t="s">
        <v>653</v>
      </c>
      <c r="B14" s="76">
        <v>38.0</v>
      </c>
      <c r="C14" s="77">
        <v>1600.45</v>
      </c>
      <c r="D14" s="77">
        <v>1453.74</v>
      </c>
    </row>
    <row r="15">
      <c r="A15" s="79" t="s">
        <v>655</v>
      </c>
      <c r="B15" s="80"/>
      <c r="C15" s="81">
        <f t="shared" ref="C15:D15" si="2">SUM(C8:C14)</f>
        <v>33811.81</v>
      </c>
      <c r="D15" s="81">
        <f t="shared" si="2"/>
        <v>25077.62</v>
      </c>
    </row>
    <row r="16">
      <c r="A16" s="32"/>
      <c r="B16" s="32"/>
      <c r="C16" s="32"/>
      <c r="D16" s="32"/>
    </row>
    <row r="17">
      <c r="A17" s="79" t="s">
        <v>785</v>
      </c>
      <c r="B17" s="86"/>
      <c r="C17" s="81">
        <f t="shared" ref="C17:D17" si="3">C5-C15</f>
        <v>7389.38</v>
      </c>
      <c r="D17" s="81">
        <f t="shared" si="3"/>
        <v>6701.88</v>
      </c>
    </row>
    <row r="18">
      <c r="A18" s="32"/>
      <c r="B18" s="32"/>
      <c r="C18" s="32"/>
      <c r="D18" s="32"/>
    </row>
    <row r="19">
      <c r="A19" s="74" t="s">
        <v>786</v>
      </c>
    </row>
    <row r="20">
      <c r="A20" s="75" t="s">
        <v>676</v>
      </c>
      <c r="B20" s="76">
        <v>39.0</v>
      </c>
      <c r="C20" s="78" t="s">
        <v>746</v>
      </c>
      <c r="D20" s="78">
        <v>768.33</v>
      </c>
    </row>
    <row r="21">
      <c r="A21" s="75" t="s">
        <v>787</v>
      </c>
      <c r="B21" s="76" t="s">
        <v>788</v>
      </c>
      <c r="C21" s="78">
        <v>-768.33</v>
      </c>
      <c r="D21" s="78">
        <v>-0.11</v>
      </c>
    </row>
    <row r="22">
      <c r="A22" s="75" t="s">
        <v>789</v>
      </c>
      <c r="B22" s="76" t="s">
        <v>788</v>
      </c>
      <c r="C22" s="77">
        <v>-2303.87</v>
      </c>
      <c r="D22" s="78">
        <v>976.57</v>
      </c>
    </row>
    <row r="23">
      <c r="A23" s="79" t="s">
        <v>790</v>
      </c>
      <c r="B23" s="80"/>
      <c r="C23" s="81">
        <f t="shared" ref="C23:D23" si="4">SUM(C20:C22)</f>
        <v>-3072.2</v>
      </c>
      <c r="D23" s="81">
        <f t="shared" si="4"/>
        <v>1744.79</v>
      </c>
    </row>
    <row r="24">
      <c r="A24" s="32"/>
      <c r="B24" s="32"/>
      <c r="C24" s="32"/>
      <c r="D24" s="32"/>
    </row>
    <row r="25">
      <c r="A25" s="75" t="s">
        <v>791</v>
      </c>
      <c r="B25" s="76">
        <v>65.0</v>
      </c>
      <c r="C25" s="78">
        <v>-215.43</v>
      </c>
      <c r="D25" s="78">
        <v>79.25</v>
      </c>
    </row>
    <row r="26">
      <c r="A26" s="32"/>
      <c r="B26" s="32"/>
      <c r="C26" s="32"/>
      <c r="D26" s="32"/>
    </row>
    <row r="27">
      <c r="A27" s="82" t="s">
        <v>792</v>
      </c>
      <c r="B27" s="83"/>
      <c r="C27" s="84">
        <f t="shared" ref="C27:D27" si="5">C17-C23+C25</f>
        <v>10246.15</v>
      </c>
      <c r="D27" s="84">
        <f t="shared" si="5"/>
        <v>5036.34</v>
      </c>
    </row>
    <row r="28">
      <c r="A28" s="32"/>
      <c r="B28" s="32"/>
      <c r="C28" s="32"/>
      <c r="D28" s="32"/>
    </row>
    <row r="29">
      <c r="A29" s="32"/>
      <c r="B29" s="32"/>
      <c r="C29" s="32"/>
      <c r="D29" s="32"/>
    </row>
    <row r="30">
      <c r="A30" s="74" t="s">
        <v>793</v>
      </c>
    </row>
    <row r="31">
      <c r="A31" s="75" t="s">
        <v>794</v>
      </c>
      <c r="C31" s="85"/>
      <c r="D31" s="85"/>
    </row>
    <row r="32">
      <c r="A32" s="75" t="s">
        <v>795</v>
      </c>
      <c r="B32" s="85"/>
      <c r="C32" s="78">
        <v>-4.17</v>
      </c>
      <c r="D32" s="78">
        <v>-10.72</v>
      </c>
    </row>
    <row r="33">
      <c r="A33" s="75" t="s">
        <v>796</v>
      </c>
      <c r="B33" s="85"/>
      <c r="C33" s="78" t="s">
        <v>746</v>
      </c>
      <c r="D33" s="78">
        <v>0.78</v>
      </c>
    </row>
    <row r="34">
      <c r="A34" s="75" t="s">
        <v>797</v>
      </c>
      <c r="B34" s="85"/>
      <c r="C34" s="78" t="s">
        <v>746</v>
      </c>
      <c r="D34" s="78">
        <v>26.94</v>
      </c>
    </row>
    <row r="35">
      <c r="A35" s="75" t="s">
        <v>796</v>
      </c>
      <c r="B35" s="85"/>
      <c r="C35" s="78" t="s">
        <v>746</v>
      </c>
      <c r="D35" s="78" t="s">
        <v>746</v>
      </c>
    </row>
    <row r="36">
      <c r="A36" s="79" t="s">
        <v>798</v>
      </c>
      <c r="B36" s="80"/>
      <c r="C36" s="87">
        <v>-4.17</v>
      </c>
      <c r="D36" s="87">
        <v>17.0</v>
      </c>
    </row>
    <row r="37">
      <c r="A37" s="32"/>
      <c r="B37" s="32"/>
      <c r="C37" s="32"/>
      <c r="D37" s="32"/>
    </row>
    <row r="38">
      <c r="A38" s="82" t="s">
        <v>799</v>
      </c>
      <c r="B38" s="83"/>
      <c r="C38" s="84">
        <f t="shared" ref="C38:D38" si="6">C27+C36</f>
        <v>10241.98</v>
      </c>
      <c r="D38" s="84">
        <f t="shared" si="6"/>
        <v>5053.34</v>
      </c>
    </row>
    <row r="39">
      <c r="A39" s="32"/>
      <c r="B39" s="32"/>
      <c r="C39" s="32"/>
      <c r="D39" s="32"/>
    </row>
    <row r="40">
      <c r="A40" s="32"/>
      <c r="B40" s="32"/>
      <c r="C40" s="32"/>
      <c r="D40" s="32"/>
    </row>
    <row r="41">
      <c r="A41" s="88" t="s">
        <v>800</v>
      </c>
      <c r="B41" s="89">
        <v>40.0</v>
      </c>
      <c r="C41" s="90">
        <v>23.32</v>
      </c>
      <c r="D41" s="90">
        <v>9.95</v>
      </c>
    </row>
  </sheetData>
  <mergeCells count="6">
    <mergeCell ref="A2:D2"/>
    <mergeCell ref="A7:D7"/>
    <mergeCell ref="A17:B17"/>
    <mergeCell ref="A19:D19"/>
    <mergeCell ref="A30:D30"/>
    <mergeCell ref="A31:B31"/>
  </mergeCells>
  <drawing r:id="rId1"/>
</worksheet>
</file>
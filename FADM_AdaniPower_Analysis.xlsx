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008000"/>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FY19-FY26 (₹ crore)</a:t>
            </a:r>
          </a:p>
        </rich>
      </tx>
    </title>
    <plotArea>
      <barChart>
        <barDir val="col"/>
        <grouping val="clustered"/>
        <ser>
          <idx val="0"/>
          <order val="0"/>
          <tx>
            <strRef>
              <f>'2b_Growth_Chart_Data'!B1</f>
            </strRef>
          </tx>
          <spPr>
            <a:ln>
              <a:prstDash val="solid"/>
            </a:ln>
          </spPr>
          <cat>
            <numRef>
              <f>'2b_Growth_Chart_Data'!$A$2:$A$9</f>
            </numRef>
          </cat>
          <val>
            <numRef>
              <f>'2b_Growth_Chart_Data'!$B$2:$B$9</f>
            </numRef>
          </val>
        </ser>
        <ser>
          <idx val="1"/>
          <order val="1"/>
          <tx>
            <strRef>
              <f>'2b_Growth_Chart_Data'!C1</f>
            </strRef>
          </tx>
          <spPr>
            <a:ln>
              <a:prstDash val="solid"/>
            </a:ln>
          </spPr>
          <cat>
            <numRef>
              <f>'2b_Growth_Chart_Data'!$A$2:$A$9</f>
            </numRef>
          </cat>
          <val>
            <numRef>
              <f>'2b_Growth_Chart_Data'!$C$2:$C$9</f>
            </numRef>
          </val>
        </ser>
        <ser>
          <idx val="2"/>
          <order val="2"/>
          <tx>
            <strRef>
              <f>'2b_Growth_Chart_Data'!D1</f>
            </strRef>
          </tx>
          <spPr>
            <a:ln>
              <a:prstDash val="solid"/>
            </a:ln>
          </spPr>
          <cat>
            <numRef>
              <f>'2b_Growth_Chart_Data'!$A$2:$A$9</f>
            </numRef>
          </cat>
          <val>
            <numRef>
              <f>'2b_Growth_Chart_Data'!$D$2:$D$9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FY19-FY26 (₹ crore)</a:t>
            </a:r>
          </a:p>
        </rich>
      </tx>
    </title>
    <plotArea>
      <barChart>
        <barDir val="col"/>
        <grouping val="clustered"/>
        <ser>
          <idx val="0"/>
          <order val="0"/>
          <tx>
            <strRef>
              <f>'2b_Growth_Chart_Data'!B11</f>
            </strRef>
          </tx>
          <spPr>
            <a:ln>
              <a:prstDash val="solid"/>
            </a:ln>
          </spPr>
          <cat>
            <numRef>
              <f>'2b_Growth_Chart_Data'!$A$12:$A$19</f>
            </numRef>
          </cat>
          <val>
            <numRef>
              <f>'2b_Growth_Chart_Data'!$B$12:$B$19</f>
            </numRef>
          </val>
        </ser>
        <ser>
          <idx val="1"/>
          <order val="1"/>
          <tx>
            <strRef>
              <f>'2b_Growth_Chart_Data'!C11</f>
            </strRef>
          </tx>
          <spPr>
            <a:ln>
              <a:prstDash val="solid"/>
            </a:ln>
          </spPr>
          <cat>
            <numRef>
              <f>'2b_Growth_Chart_Data'!$A$12:$A$19</f>
            </numRef>
          </cat>
          <val>
            <numRef>
              <f>'2b_Growth_Chart_Data'!$C$12:$C$19</f>
            </numRef>
          </val>
        </ser>
        <ser>
          <idx val="2"/>
          <order val="2"/>
          <tx>
            <strRef>
              <f>'2b_Growth_Chart_Data'!D11</f>
            </strRef>
          </tx>
          <spPr>
            <a:ln>
              <a:prstDash val="solid"/>
            </a:ln>
          </spPr>
          <cat>
            <numRef>
              <f>'2b_Growth_Chart_Data'!$A$12:$A$19</f>
            </numRef>
          </cat>
          <val>
            <numRef>
              <f>'2b_Growth_Chart_Data'!$D$12:$D$19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FY20-FY26 (₹ crore, consolidated)</a:t>
            </a:r>
          </a:p>
        </rich>
      </tx>
    </title>
    <plotArea>
      <barChart>
        <barDir val="col"/>
        <grouping val="clustered"/>
        <ser>
          <idx val="0"/>
          <order val="0"/>
          <tx>
            <strRef>
              <f>'2b_Growth_Chart_Data'!B21</f>
            </strRef>
          </tx>
          <spPr>
            <a:ln>
              <a:prstDash val="solid"/>
            </a:ln>
          </spPr>
          <cat>
            <numRef>
              <f>'2b_Growth_Chart_Data'!$A$22:$A$28</f>
            </numRef>
          </cat>
          <val>
            <numRef>
              <f>'2b_Growth_Chart_Data'!$B$22:$B$28</f>
            </numRef>
          </val>
        </ser>
        <ser>
          <idx val="1"/>
          <order val="1"/>
          <tx>
            <strRef>
              <f>'2b_Growth_Chart_Data'!C21</f>
            </strRef>
          </tx>
          <spPr>
            <a:ln>
              <a:prstDash val="solid"/>
            </a:ln>
          </spPr>
          <cat>
            <numRef>
              <f>'2b_Growth_Chart_Data'!$A$22:$A$28</f>
            </numRef>
          </cat>
          <val>
            <numRef>
              <f>'2b_Growth_Chart_Data'!$C$22:$C$28</f>
            </numRef>
          </val>
        </ser>
        <ser>
          <idx val="2"/>
          <order val="2"/>
          <tx>
            <strRef>
              <f>'2b_Growth_Chart_Data'!D21</f>
            </strRef>
          </tx>
          <spPr>
            <a:ln>
              <a:prstDash val="solid"/>
            </a:ln>
          </spPr>
          <cat>
            <numRef>
              <f>'2b_Growth_Chart_Data'!$A$22:$A$28</f>
            </numRef>
          </cat>
          <val>
            <numRef>
              <f>'2b_Growth_Chart_Data'!$D$22:$D$28</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FY21-FY26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'6b_Segment_Chart_Data'!$A$2:$A$7</f>
            </numRef>
          </cat>
          <val>
            <numRef>
              <f>'6b_Segment_Chart_Data'!$B$2:$B$7</f>
            </numRef>
          </val>
        </ser>
        <ser>
          <idx val="1"/>
          <order val="1"/>
          <tx>
            <strRef>
              <f>'6b_Segment_Chart_Data'!C1</f>
            </strRef>
          </tx>
          <spPr>
            <a:ln>
              <a:prstDash val="solid"/>
            </a:ln>
          </spPr>
          <marker>
            <symbol val="none"/>
            <spPr>
              <a:ln>
                <a:prstDash val="solid"/>
              </a:ln>
            </spPr>
          </marker>
          <cat>
            <numRef>
              <f>'6b_Segment_Chart_Data'!$A$2:$A$7</f>
            </numRef>
          </cat>
          <val>
            <numRef>
              <f>'6b_Segment_Chart_Data'!$C$2:$C$7</f>
            </numRef>
          </val>
        </ser>
        <ser>
          <idx val="2"/>
          <order val="2"/>
          <tx>
            <strRef>
              <f>'6b_Segment_Chart_Data'!D1</f>
            </strRef>
          </tx>
          <spPr>
            <a:ln>
              <a:prstDash val="solid"/>
            </a:ln>
          </spPr>
          <marker>
            <symbol val="none"/>
            <spPr>
              <a:ln>
                <a:prstDash val="solid"/>
              </a:ln>
            </spPr>
          </marker>
          <cat>
            <numRef>
              <f>'6b_Segment_Chart_Data'!$A$2:$A$7</f>
            </numRef>
          </cat>
          <val>
            <numRef>
              <f>'6b_Segment_Chart_Data'!$D$2:$D$7</f>
            </numRef>
          </val>
        </ser>
        <ser>
          <idx val="3"/>
          <order val="3"/>
          <tx>
            <strRef>
              <f>'6b_Segment_Chart_Data'!E1</f>
            </strRef>
          </tx>
          <spPr>
            <a:ln>
              <a:prstDash val="solid"/>
            </a:ln>
          </spPr>
          <marker>
            <symbol val="none"/>
            <spPr>
              <a:ln>
                <a:prstDash val="solid"/>
              </a:ln>
            </spPr>
          </marker>
          <cat>
            <numRef>
              <f>'6b_Segment_Chart_Data'!$A$2:$A$7</f>
            </numRef>
          </cat>
          <val>
            <numRef>
              <f>'6b_Segment_Chart_Data'!$E$2:$E$7</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independently verifiable via web search in this session — pull directly from screener.in / moneycontrol / NSE-BSE filings / the company's Annual Report before final submission.</t>
      </text>
    </comment>
    <comment ref="B10" authorId="0" shapeId="0">
      <text>
        <t>Not independently verifiable via web search in this session — pull directly from screener.in / moneycontrol / NSE-BSE filings / the company's Annual Report before final submission.</t>
      </text>
    </comment>
    <comment ref="C10" authorId="0" shapeId="0">
      <text>
        <t>Not independently verifiable via web search in this session — pull directly from screener.in / moneycontrol / NSE-BSE filings / the company's Annual Report before final submission.</t>
      </text>
    </comment>
    <comment ref="E10" authorId="0" shapeId="0">
      <text>
        <t>Not independently verifiable via web search in this session — pull directly from screener.in / moneycontrol / NSE-BSE filings / the company's Annual Report before final submission.</t>
      </text>
    </comment>
    <comment ref="G10" authorId="0" shapeId="0">
      <text>
        <t>Not independently verifiable via web search in this session — pull directly from screener.in / moneycontrol / NSE-BSE filings / the company's Annual Report before final submission.</t>
      </text>
    </comment>
    <comment ref="B14" authorId="0" shapeId="0">
      <text>
        <t>Not independently verifiable via web search in this session — pull directly from screener.in / moneycontrol / NSE-BSE filings / the company's Annual Report before final submission.</t>
      </text>
    </comment>
    <comment ref="C14" authorId="0" shapeId="0">
      <text>
        <t>Not independently verifiable via web search in this session — pull directly from screener.in / moneycontrol / NSE-BSE filings / the company's Annual Report before final submission.</t>
      </text>
    </comment>
    <comment ref="B15" authorId="0" shapeId="0">
      <text>
        <t>Not independently verifiable via web search in this session — pull directly from screener.in / moneycontrol / NSE-BSE filings / the company's Annual Report before final submission.</t>
      </text>
    </comment>
    <comment ref="C15" authorId="0" shapeId="0">
      <text>
        <t>Not independently verifiable via web search in this session — pull directly from screener.in / moneycontrol / NSE-BSE filings / the company's Annual Report before final submission.</t>
      </text>
    </comment>
    <comment ref="B16" authorId="0" shapeId="0">
      <text>
        <t>Not independently verifiable via web search in this session — pull directly from screener.in / moneycontrol / NSE-BSE filings / the company's Annual Report before final submission.</t>
      </text>
    </comment>
    <comment ref="C16"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G16" authorId="0" shapeId="0">
      <text>
        <t>Not independently verifiable via web search in this session — pull directly from screener.in / moneycontrol / NSE-BSE filings / the company's Annual Report before final submission.</t>
      </text>
    </comment>
    <comment ref="B19" authorId="0" shapeId="0">
      <text>
        <t>Not independently verifiable via web search in this session — pull directly from screener.in / moneycontrol / NSE-BSE filings / the company's Annual Report before final submission.</t>
      </text>
    </comment>
    <comment ref="B20" authorId="0" shapeId="0">
      <text>
        <t>Not independently verifiable via web search in this session — pull directly from screener.in / moneycontrol / NSE-BSE filings / the company's Annual Report before final submission.</t>
      </text>
    </comment>
    <comment ref="B21" authorId="0" shapeId="0">
      <text>
        <t>Not independently verifiable via web search in this session — pull directly from screener.in / moneycontrol / NSE-BSE filings / the company's Annual Report before final submission.</t>
      </text>
    </comment>
    <comment ref="B22" authorId="0" shapeId="0">
      <text>
        <t>Not independently verifiable via web search in this session — pull directly from screener.in / moneycontrol / NSE-BSE filings / the company's Annual Report before final submission.</t>
      </text>
    </comment>
    <comment ref="C22"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(FY19-FY26)</t>
        </is>
      </c>
    </row>
    <row r="2">
      <c r="A2" s="8" t="inlineStr">
        <is>
          <t>₹ crore, Consolidated. FY24-FY26 columns VERIFIED from primary Annual Reports (uploaded). Yellow = still needs verification.</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c r="J5" s="9" t="inlineStr">
        <is>
          <t>CAGR</t>
        </is>
      </c>
    </row>
    <row r="7">
      <c r="A7" s="2" t="inlineStr">
        <is>
          <t>Adani Power — Revenue / Total Income (₹ cr)</t>
        </is>
      </c>
      <c r="B7" t="n">
        <v>26362</v>
      </c>
      <c r="C7" t="n">
        <v>27841.81</v>
      </c>
      <c r="D7" t="n">
        <v>28149.68</v>
      </c>
      <c r="E7" t="n">
        <v>31686.47</v>
      </c>
      <c r="F7" t="n">
        <v>43040.52</v>
      </c>
      <c r="G7" t="n">
        <v>60281.48</v>
      </c>
      <c r="H7" t="n">
        <v>58905.83</v>
      </c>
      <c r="I7" t="n">
        <v>57865.28</v>
      </c>
      <c r="J7" s="12">
        <f>IFERROR(IF(OR(B7="N/A",I7="N/A"),"N/A",(I7/B7)^(1/7)-1),"N/A")</f>
        <v/>
      </c>
    </row>
    <row r="8">
      <c r="A8" s="2" t="inlineStr">
        <is>
          <t>Adani Power — Net Profit / PAT (₹ cr)</t>
        </is>
      </c>
      <c r="B8" t="n">
        <v>-984.4</v>
      </c>
      <c r="C8" t="n">
        <v>-2274.77</v>
      </c>
      <c r="D8" t="n">
        <v>1269.98</v>
      </c>
      <c r="E8" t="n">
        <v>4911.58</v>
      </c>
      <c r="F8" t="n">
        <v>10726.64</v>
      </c>
      <c r="G8" t="n">
        <v>20828.79</v>
      </c>
      <c r="H8" t="n">
        <v>12749.61</v>
      </c>
      <c r="I8" t="n">
        <v>12971.08</v>
      </c>
      <c r="J8" s="12">
        <f>IFERROR(IF(OR(B8="N/A",I8="N/A"),"N/A",(I8/B8)^(1/7)-1),"N/A")</f>
        <v/>
      </c>
    </row>
    <row r="9">
      <c r="A9" s="2" t="inlineStr">
        <is>
          <t>Adani Power — Total Assets (₹ cr)</t>
        </is>
      </c>
      <c r="B9" s="3" t="inlineStr">
        <is>
          <t>N/A</t>
        </is>
      </c>
      <c r="C9" t="n">
        <v>75025</v>
      </c>
      <c r="D9" t="n">
        <v>78535.47</v>
      </c>
      <c r="E9" t="n">
        <v>81981.02</v>
      </c>
      <c r="F9" t="n">
        <v>85821.27</v>
      </c>
      <c r="G9" t="n">
        <v>92324.77</v>
      </c>
      <c r="H9" t="n">
        <v>112917.57</v>
      </c>
      <c r="I9" t="n">
        <v>142279.92</v>
      </c>
      <c r="J9" s="12">
        <f>IFERROR(IF(OR(B9="N/A",I9="N/A"),"N/A",(I9/B9)^(1/7)-1),"N/A")</f>
        <v/>
      </c>
    </row>
    <row r="10">
      <c r="A10" s="2" t="inlineStr">
        <is>
          <t>Adani Power — Employees (#)</t>
        </is>
      </c>
      <c r="B10" s="3" t="inlineStr">
        <is>
          <t>N/A</t>
        </is>
      </c>
      <c r="C10" s="3" t="inlineStr">
        <is>
          <t>N/A</t>
        </is>
      </c>
      <c r="D10" t="n">
        <v>84</v>
      </c>
      <c r="E10" s="3" t="inlineStr">
        <is>
          <t>N/A</t>
        </is>
      </c>
      <c r="F10" t="n">
        <v>2805</v>
      </c>
      <c r="G10" s="3" t="inlineStr">
        <is>
          <t>N/A</t>
        </is>
      </c>
      <c r="H10" t="n">
        <v>4210</v>
      </c>
      <c r="I10" t="n">
        <v>3967</v>
      </c>
      <c r="J10" s="12">
        <f>IFERROR(IF(OR(B10="N/A",I10="N/A"),"N/A",(I10/B10)^(1/7)-1),"N/A")</f>
        <v/>
      </c>
    </row>
    <row r="11" ht="40" customHeight="1">
      <c r="A11" s="13" t="inlineStr">
        <is>
          <t>FY20-FY26 figures VERIFIED from Adani Power's audited Integrated Annual Reports (consolidated). FY19 revenue/PAT are secondary-source (Business Standard, May-2019 results coverage); FY19 Total Assets not available. Employees = STANDALONE permanent employees on Company rolls: FY21's count of just 84 reflects the pre-amalgamation structure — until 1-Oct-2021 the parent was largely a holding shell, with operating staff employed by the 6 subsidiaries merged in that year, so the series has a structural break and FY21 is NOT comparable to FY23+. FY24 PAT (₹20,829cr) was inflated by one-off other income (₹9,781cr incl. prior-period revenue recognition) vs FY25's normalised ₹12,750cr.</t>
        </is>
      </c>
    </row>
    <row r="13">
      <c r="A13" s="2" t="inlineStr">
        <is>
          <t>Tata Power — Revenue / Total Income (₹ cr)</t>
        </is>
      </c>
      <c r="B13" t="n">
        <v>30743</v>
      </c>
      <c r="C13" t="n">
        <v>30350</v>
      </c>
      <c r="D13" t="n">
        <v>33239</v>
      </c>
      <c r="E13" t="n">
        <v>42576</v>
      </c>
      <c r="F13" t="n">
        <v>56033</v>
      </c>
      <c r="G13" t="n">
        <v>63272.32</v>
      </c>
      <c r="H13" t="n">
        <v>66992.17</v>
      </c>
      <c r="I13" t="n">
        <v>64171.66</v>
      </c>
      <c r="J13" s="12">
        <f>IFERROR(IF(OR(B13="N/A",I13="N/A"),"N/A",(I13/B13)^(1/7)-1),"N/A")</f>
        <v/>
      </c>
    </row>
    <row r="14">
      <c r="A14" s="2" t="inlineStr">
        <is>
          <t>Tata Power — Net Profit / PAT (₹ cr)</t>
        </is>
      </c>
      <c r="B14" s="3" t="inlineStr">
        <is>
          <t>N/A</t>
        </is>
      </c>
      <c r="C14" s="3" t="inlineStr">
        <is>
          <t>N/A</t>
        </is>
      </c>
      <c r="D14" t="n">
        <v>1439</v>
      </c>
      <c r="E14" t="n">
        <v>2156</v>
      </c>
      <c r="F14" t="n">
        <v>3810</v>
      </c>
      <c r="G14" t="n">
        <v>4280</v>
      </c>
      <c r="H14" t="n">
        <v>4775</v>
      </c>
      <c r="I14" t="n">
        <v>5118</v>
      </c>
      <c r="J14" s="12">
        <f>IFERROR(IF(OR(B14="N/A",I14="N/A"),"N/A",(I14/B14)^(1/7)-1),"N/A")</f>
        <v/>
      </c>
    </row>
    <row r="15">
      <c r="A15" s="2" t="inlineStr">
        <is>
          <t>Tata Power — Total Assets (₹ cr)</t>
        </is>
      </c>
      <c r="B15" s="3" t="inlineStr">
        <is>
          <t>N/A</t>
        </is>
      </c>
      <c r="C15" s="3" t="inlineStr">
        <is>
          <t>N/A</t>
        </is>
      </c>
      <c r="D15" t="n">
        <v>98838.86</v>
      </c>
      <c r="E15" t="n">
        <v>112884.59</v>
      </c>
      <c r="F15" t="n">
        <v>128349.04</v>
      </c>
      <c r="G15" t="n">
        <v>139553.49</v>
      </c>
      <c r="H15" t="n">
        <v>156711.29</v>
      </c>
      <c r="I15" t="n">
        <v>175171.78</v>
      </c>
      <c r="J15" s="12">
        <f>IFERROR(IF(OR(B15="N/A",I15="N/A"),"N/A",(I15/B15)^(1/7)-1),"N/A")</f>
        <v/>
      </c>
    </row>
    <row r="16">
      <c r="A16" s="2" t="inlineStr">
        <is>
          <t>Tata Power — Employees (#)</t>
        </is>
      </c>
      <c r="B16" s="3" t="inlineStr">
        <is>
          <t>N/A</t>
        </is>
      </c>
      <c r="C16" s="3" t="inlineStr">
        <is>
          <t>N/A</t>
        </is>
      </c>
      <c r="D16" s="3" t="inlineStr">
        <is>
          <t>N/A</t>
        </is>
      </c>
      <c r="E16" t="n">
        <v>2815</v>
      </c>
      <c r="F16" t="n">
        <v>3071</v>
      </c>
      <c r="G16" s="3" t="inlineStr">
        <is>
          <t>N/A</t>
        </is>
      </c>
      <c r="H16" t="n">
        <v>3130</v>
      </c>
      <c r="I16" t="n">
        <v>3295</v>
      </c>
      <c r="J16" s="12">
        <f>IFERROR(IF(OR(B16="N/A",I16="N/A"),"N/A",(I16/B16)^(1/7)-1),"N/A")</f>
        <v/>
      </c>
    </row>
    <row r="17" ht="40" customHeight="1">
      <c r="A17" s="13" t="inlineStr">
        <is>
          <t>FY21-FY26 figures VERIFIED from Tata Power's Integrated Annual Reports (consolidated, reported basis): PAT FY21 ₹1,439cr / FY22 ₹2,156cr / FY23 ₹3,810cr replace earlier secondary-source variants (1,424/2,298/3,878, which were pre-exceptional or pre-minority-interest bases). Revenue FY21-23 (33,239/42,576/56,033) is the company's own highlights-basis series incl. regulatory income, now confirmed in the FY22/FY23 Annual Reports; as-reported P&amp;L 'Revenue from Operations' is slightly lower (32,703/42,816/55,109). FY19/FY20 figures remain secondary-source. Employees = STANDALONE parent only (~2,800-3,300) — most of the group workforce sits in subsidiaries (TPREL, discoms), so do not compare with consolidated revenue.</t>
        </is>
      </c>
    </row>
    <row r="19">
      <c r="A19" s="2" t="inlineStr">
        <is>
          <t>Torrent Power — Revenue / Total Income (₹ cr)</t>
        </is>
      </c>
      <c r="B19" s="3" t="inlineStr">
        <is>
          <t>N/A</t>
        </is>
      </c>
      <c r="C19" t="n">
        <v>13818.22</v>
      </c>
      <c r="D19" t="n">
        <v>12314.47</v>
      </c>
      <c r="E19" t="n">
        <v>14492.65</v>
      </c>
      <c r="F19" t="n">
        <v>26075.97</v>
      </c>
      <c r="G19" t="n">
        <v>27527.53</v>
      </c>
      <c r="H19" t="n">
        <v>29652.47</v>
      </c>
      <c r="I19" t="n">
        <v>29288.92</v>
      </c>
      <c r="J19" s="12">
        <f>IFERROR(IF(OR(B19="N/A",I19="N/A"),"N/A",(I19/B19)^(1/7)-1),"N/A")</f>
        <v/>
      </c>
    </row>
    <row r="20">
      <c r="A20" s="2" t="inlineStr">
        <is>
          <t>Torrent Power — Net Profit / PAT (₹ cr)</t>
        </is>
      </c>
      <c r="B20" s="3" t="inlineStr">
        <is>
          <t>N/A</t>
        </is>
      </c>
      <c r="C20" t="n">
        <v>1178.88</v>
      </c>
      <c r="D20" t="n">
        <v>1295.87</v>
      </c>
      <c r="E20" t="n">
        <v>458.7</v>
      </c>
      <c r="F20" t="n">
        <v>2164.67</v>
      </c>
      <c r="G20" t="n">
        <v>1896</v>
      </c>
      <c r="H20" t="n">
        <v>3058.61</v>
      </c>
      <c r="I20" t="n">
        <v>2469.36</v>
      </c>
      <c r="J20" s="12">
        <f>IFERROR(IF(OR(B20="N/A",I20="N/A"),"N/A",(I20/B20)^(1/7)-1),"N/A")</f>
        <v/>
      </c>
    </row>
    <row r="21">
      <c r="A21" s="2" t="inlineStr">
        <is>
          <t>Torrent Power — Total Assets (₹ cr)</t>
        </is>
      </c>
      <c r="B21" s="3" t="inlineStr">
        <is>
          <t>N/A</t>
        </is>
      </c>
      <c r="C21" t="n">
        <v>23623.04</v>
      </c>
      <c r="D21" t="n">
        <v>23538.72</v>
      </c>
      <c r="E21" t="n">
        <v>25022.7</v>
      </c>
      <c r="F21" t="n">
        <v>29910.18</v>
      </c>
      <c r="G21" t="n">
        <v>33392.48</v>
      </c>
      <c r="H21" t="n">
        <v>36573.38</v>
      </c>
      <c r="I21" t="n">
        <v>45193.28</v>
      </c>
      <c r="J21" s="12">
        <f>IFERROR(IF(OR(B21="N/A",I21="N/A"),"N/A",(I21/B21)^(1/7)-1),"N/A")</f>
        <v/>
      </c>
    </row>
    <row r="22">
      <c r="A22" s="2" t="inlineStr">
        <is>
          <t>Torrent Power — Employees (#)</t>
        </is>
      </c>
      <c r="B22" s="3" t="inlineStr">
        <is>
          <t>N/A</t>
        </is>
      </c>
      <c r="C22" s="3" t="inlineStr">
        <is>
          <t>N/A</t>
        </is>
      </c>
      <c r="D22" t="n">
        <v>7429</v>
      </c>
      <c r="E22" t="n">
        <v>7603</v>
      </c>
      <c r="F22" t="n">
        <v>6992</v>
      </c>
      <c r="G22" t="n">
        <v>6987</v>
      </c>
      <c r="H22" t="n">
        <v>7213</v>
      </c>
      <c r="I22" t="n">
        <v>6687</v>
      </c>
      <c r="J22" s="12">
        <f>IFERROR(IF(OR(B22="N/A",I22="N/A"),"N/A",(I22/B22)^(1/7)-1),"N/A")</f>
        <v/>
      </c>
    </row>
    <row r="23" ht="40" customHeight="1">
      <c r="A23" s="13" t="inlineStr">
        <is>
          <t>FY20-FY26 figures VERIFIED from Torrent Power's Integrated Annual Reports (consolidated). Only FY19 remains unverified (no FY19-20 report uploaded). FY22 PAT (₹458.70cr) was depressed by a ~₹1,300cr DGEN plant impairment.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c r="G26" s="3" t="inlineStr">
        <is>
          <t>TO FILL</t>
        </is>
      </c>
      <c r="H26" s="3" t="inlineStr">
        <is>
          <t>TO FILL</t>
        </is>
      </c>
      <c r="I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c r="G27" s="3" t="inlineStr">
        <is>
          <t>TO FILL</t>
        </is>
      </c>
      <c r="H27" s="3" t="inlineStr">
        <is>
          <t>TO FILL</t>
        </is>
      </c>
      <c r="I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c r="G28" s="3" t="inlineStr">
        <is>
          <t>TO FILL</t>
        </is>
      </c>
      <c r="H28" s="3" t="inlineStr">
        <is>
          <t>TO FILL</t>
        </is>
      </c>
      <c r="I28" s="3" t="inlineStr">
        <is>
          <t>TO FILL</t>
        </is>
      </c>
    </row>
    <row r="30">
      <c r="A30" s="15" t="inlineStr">
        <is>
          <t>Comments</t>
        </is>
      </c>
    </row>
    <row r="31" ht="100" customHeight="1">
      <c r="A31" s="16" t="inlineStr">
        <is>
          <t>SALES GROWTH: Adani Power's revenue rose from ₹27,842cr (FY20) to ₹57,865cr (FY26), ~13% CAGR, with the big jumps in FY23-FY24 driven by IBC acquisitions (Mahan, Korba) plus tariff/prior-period recoveries; FY25-FY26 revenue plateaued. Tata Power roughly doubled revenue FY20→FY26 (₹30,350cr→₹64,172cr), the FY22-23 surge reflecting the four Odisha discoms and high Mundra fuel pass-throughs. Torrent Power's revenue more than doubled (₹13,818cr→₹29,289cr), with the single biggest step in FY23 (+80%) from the DNH&amp;DD discom takeover and merchant gas sales. PROFIT GROWTH: Adani Power's swing is the most dramatic — from a ₹2,275cr loss (FY20) to ₹12,971cr PAT (FY26); FY24's ₹20,829cr spike was one-off-boosted and FY25/FY26 is the cleaner run-rate. Tata Power compounded PAT steadily every single year (₹1,439cr FY21 → ₹5,118cr FY26, ~29% CAGR) — the most consistent grower. Torrent is profitable but lumpy (FY22 impairment, FY25 peak, FY26 dip). ASSETS GROWTH: Adani Power's asset base compounded ~11% (₹75,025cr FY20 → ₹1,42,280cr FY26), accelerating sharply after FY24 as acquisitions/new capacity landed. Tata Power grew assets ~12% CAGR (₹98,839cr FY21 → ₹1,75,172cr FY26) — the largest absolute base. Torrent was static FY20-FY22 (~₹23-25,000cr) then accelerated to ₹45,193cr by FY26 (Nabha + capex cycle). MARKET PRICE: year-end share-price rows still need NSE/Yahoo data (yellow) to complete the fourth growth lens.</t>
        </is>
      </c>
    </row>
    <row r="32"/>
    <row r="33"/>
    <row r="34"/>
    <row r="35"/>
  </sheetData>
  <mergeCells count="6">
    <mergeCell ref="A1:J1"/>
    <mergeCell ref="A23:J23"/>
    <mergeCell ref="A31:J35"/>
    <mergeCell ref="A17:J17"/>
    <mergeCell ref="A2:J2"/>
    <mergeCell ref="A11:J1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FY19</t>
        </is>
      </c>
      <c r="B2" t="n">
        <v>26362</v>
      </c>
      <c r="C2" t="n">
        <v>30743</v>
      </c>
    </row>
    <row r="3">
      <c r="A3" t="inlineStr">
        <is>
          <t>FY20</t>
        </is>
      </c>
      <c r="B3" t="n">
        <v>27841.81</v>
      </c>
      <c r="C3" t="n">
        <v>30350</v>
      </c>
      <c r="D3" t="n">
        <v>13818.22</v>
      </c>
    </row>
    <row r="4">
      <c r="A4" t="inlineStr">
        <is>
          <t>FY21</t>
        </is>
      </c>
      <c r="B4" t="n">
        <v>28149.68</v>
      </c>
      <c r="C4" t="n">
        <v>33239</v>
      </c>
      <c r="D4" t="n">
        <v>12314.47</v>
      </c>
    </row>
    <row r="5">
      <c r="A5" t="inlineStr">
        <is>
          <t>FY22</t>
        </is>
      </c>
      <c r="B5" t="n">
        <v>31686.47</v>
      </c>
      <c r="C5" t="n">
        <v>42576</v>
      </c>
      <c r="D5" t="n">
        <v>14492.65</v>
      </c>
    </row>
    <row r="6">
      <c r="A6" t="inlineStr">
        <is>
          <t>FY23</t>
        </is>
      </c>
      <c r="B6" t="n">
        <v>43040.52</v>
      </c>
      <c r="C6" t="n">
        <v>56033</v>
      </c>
      <c r="D6" t="n">
        <v>26075.97</v>
      </c>
    </row>
    <row r="7">
      <c r="A7" t="inlineStr">
        <is>
          <t>FY24</t>
        </is>
      </c>
      <c r="B7" t="n">
        <v>60281.48</v>
      </c>
      <c r="C7" t="n">
        <v>63272.32</v>
      </c>
      <c r="D7" t="n">
        <v>27527.53</v>
      </c>
    </row>
    <row r="8">
      <c r="A8" t="inlineStr">
        <is>
          <t>FY25</t>
        </is>
      </c>
      <c r="B8" t="n">
        <v>58905.83</v>
      </c>
      <c r="C8" t="n">
        <v>66992.17</v>
      </c>
      <c r="D8" t="n">
        <v>29652.47</v>
      </c>
    </row>
    <row r="9">
      <c r="A9" t="inlineStr">
        <is>
          <t>FY26</t>
        </is>
      </c>
      <c r="B9" t="n">
        <v>57865.28</v>
      </c>
      <c r="C9" t="n">
        <v>64171.66</v>
      </c>
      <c r="D9" t="n">
        <v>29288.92</v>
      </c>
    </row>
    <row r="11">
      <c r="A11" t="inlineStr">
        <is>
          <t>Year</t>
        </is>
      </c>
      <c r="B11" t="inlineStr">
        <is>
          <t>Adani Power PAT</t>
        </is>
      </c>
      <c r="C11" t="inlineStr">
        <is>
          <t>Tata Power PAT</t>
        </is>
      </c>
      <c r="D11" t="inlineStr">
        <is>
          <t>Torrent Power PAT</t>
        </is>
      </c>
    </row>
    <row r="12">
      <c r="A12" t="inlineStr">
        <is>
          <t>FY19</t>
        </is>
      </c>
      <c r="B12" t="n">
        <v>-984.4</v>
      </c>
    </row>
    <row r="13">
      <c r="A13" t="inlineStr">
        <is>
          <t>FY20</t>
        </is>
      </c>
      <c r="B13" t="n">
        <v>-2274.77</v>
      </c>
      <c r="D13" t="n">
        <v>1178.88</v>
      </c>
    </row>
    <row r="14">
      <c r="A14" t="inlineStr">
        <is>
          <t>FY21</t>
        </is>
      </c>
      <c r="B14" t="n">
        <v>1269.98</v>
      </c>
      <c r="C14" t="n">
        <v>1439</v>
      </c>
      <c r="D14" t="n">
        <v>1295.87</v>
      </c>
    </row>
    <row r="15">
      <c r="A15" t="inlineStr">
        <is>
          <t>FY22</t>
        </is>
      </c>
      <c r="B15" t="n">
        <v>4911.58</v>
      </c>
      <c r="C15" t="n">
        <v>2156</v>
      </c>
      <c r="D15" t="n">
        <v>458.7</v>
      </c>
    </row>
    <row r="16">
      <c r="A16" t="inlineStr">
        <is>
          <t>FY23</t>
        </is>
      </c>
      <c r="B16" t="n">
        <v>10726.64</v>
      </c>
      <c r="C16" t="n">
        <v>3810</v>
      </c>
      <c r="D16" t="n">
        <v>2164.67</v>
      </c>
    </row>
    <row r="17">
      <c r="A17" t="inlineStr">
        <is>
          <t>FY24</t>
        </is>
      </c>
      <c r="B17" t="n">
        <v>20828.79</v>
      </c>
      <c r="C17" t="n">
        <v>4280</v>
      </c>
      <c r="D17" t="n">
        <v>1896</v>
      </c>
    </row>
    <row r="18">
      <c r="A18" t="inlineStr">
        <is>
          <t>FY25</t>
        </is>
      </c>
      <c r="B18" t="n">
        <v>12749.61</v>
      </c>
      <c r="C18" t="n">
        <v>4775</v>
      </c>
      <c r="D18" t="n">
        <v>3058.61</v>
      </c>
    </row>
    <row r="19">
      <c r="A19" t="inlineStr">
        <is>
          <t>FY26</t>
        </is>
      </c>
      <c r="B19" t="n">
        <v>12971.08</v>
      </c>
      <c r="C19" t="n">
        <v>5118</v>
      </c>
      <c r="D19" t="n">
        <v>2469.36</v>
      </c>
    </row>
    <row r="21">
      <c r="A21" t="inlineStr">
        <is>
          <t>Year</t>
        </is>
      </c>
      <c r="B21" t="inlineStr">
        <is>
          <t>Adani Power Assets</t>
        </is>
      </c>
      <c r="C21" t="inlineStr">
        <is>
          <t>Tata Power Assets</t>
        </is>
      </c>
      <c r="D21" t="inlineStr">
        <is>
          <t>Torrent Power Assets</t>
        </is>
      </c>
    </row>
    <row r="22">
      <c r="A22" t="inlineStr">
        <is>
          <t>FY20</t>
        </is>
      </c>
      <c r="B22" t="n">
        <v>75025</v>
      </c>
      <c r="D22" t="n">
        <v>23623.04</v>
      </c>
    </row>
    <row r="23">
      <c r="A23" t="inlineStr">
        <is>
          <t>FY21</t>
        </is>
      </c>
      <c r="B23" t="n">
        <v>78535.47</v>
      </c>
      <c r="C23" t="n">
        <v>98838.86</v>
      </c>
      <c r="D23" t="n">
        <v>23538.72</v>
      </c>
    </row>
    <row r="24">
      <c r="A24" t="inlineStr">
        <is>
          <t>FY22</t>
        </is>
      </c>
      <c r="B24" t="n">
        <v>81981.02</v>
      </c>
      <c r="C24" t="n">
        <v>112884.59</v>
      </c>
      <c r="D24" t="n">
        <v>25022.7</v>
      </c>
    </row>
    <row r="25">
      <c r="A25" t="inlineStr">
        <is>
          <t>FY23</t>
        </is>
      </c>
      <c r="B25" t="n">
        <v>85821.27</v>
      </c>
      <c r="C25" t="n">
        <v>128349.04</v>
      </c>
      <c r="D25" t="n">
        <v>29910.18</v>
      </c>
    </row>
    <row r="26">
      <c r="A26" t="inlineStr">
        <is>
          <t>FY24</t>
        </is>
      </c>
      <c r="B26" t="n">
        <v>92324.77</v>
      </c>
      <c r="C26" t="n">
        <v>139553.49</v>
      </c>
      <c r="D26" t="n">
        <v>33392.48</v>
      </c>
    </row>
    <row r="27">
      <c r="A27" t="inlineStr">
        <is>
          <t>FY25</t>
        </is>
      </c>
      <c r="B27" t="n">
        <v>112917.57</v>
      </c>
      <c r="C27" t="n">
        <v>156711.29</v>
      </c>
      <c r="D27" t="n">
        <v>36573.38</v>
      </c>
    </row>
    <row r="28">
      <c r="A28" t="inlineStr">
        <is>
          <t>FY26</t>
        </is>
      </c>
      <c r="B28" t="n">
        <v>142279.92</v>
      </c>
      <c r="C28" t="n">
        <v>175171.78</v>
      </c>
      <c r="D28"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4" customHeight="1">
      <c r="A1" s="7" t="inlineStr">
        <is>
          <t>3. Sales per Rupee of Asset Deployed &amp; Sales per Employee</t>
        </is>
      </c>
    </row>
    <row r="2">
      <c r="A2" s="8" t="inlineStr">
        <is>
          <t>Sales per ₹ of asset = Revenue / Total Assets (x). Sales per employee = Revenue (₹ cr) / Employees, shown in ₹ lakh/employee.</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c r="G7" s="17">
        <f>IFERROR(IF(OR(ISTEXT('2_Growth_Comparison'!G7),ISTEXT('2_Growth_Comparison'!G9)),"N/A",'2_Growth_Comparison'!G7/'2_Growth_Comparison'!G9),"N/A")</f>
        <v/>
      </c>
      <c r="H7" s="17">
        <f>IFERROR(IF(OR(ISTEXT('2_Growth_Comparison'!H7),ISTEXT('2_Growth_Comparison'!H9)),"N/A",'2_Growth_Comparison'!H7/'2_Growth_Comparison'!H9),"N/A")</f>
        <v/>
      </c>
      <c r="I7" s="17">
        <f>IFERROR(IF(OR(ISTEXT('2_Growth_Comparison'!I7),ISTEXT('2_Growth_Comparison'!I9)),"N/A",'2_Growth_Comparison'!I7/'2_Growth_Comparison'!I9),"N/A")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c r="G8" s="17">
        <f>IFERROR(IF(OR(ISTEXT('2_Growth_Comparison'!G7),ISTEXT('2_Growth_Comparison'!G10)),"N/A",'2_Growth_Comparison'!G7*100/'2_Growth_Comparison'!G10),"N/A")</f>
        <v/>
      </c>
      <c r="H8" s="17">
        <f>IFERROR(IF(OR(ISTEXT('2_Growth_Comparison'!H7),ISTEXT('2_Growth_Comparison'!H10)),"N/A",'2_Growth_Comparison'!H7*100/'2_Growth_Comparison'!H10),"N/A")</f>
        <v/>
      </c>
      <c r="I8" s="17">
        <f>IFERROR(IF(OR(ISTEXT('2_Growth_Comparison'!I7),ISTEXT('2_Growth_Comparison'!I10)),"N/A",'2_Growth_Comparison'!I7*100/'2_Growth_Comparison'!I10),"N/A")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c r="G10" s="17">
        <f>IFERROR(IF(OR(ISTEXT('2_Growth_Comparison'!G13),ISTEXT('2_Growth_Comparison'!G15)),"N/A",'2_Growth_Comparison'!G13/'2_Growth_Comparison'!G15),"N/A")</f>
        <v/>
      </c>
      <c r="H10" s="17">
        <f>IFERROR(IF(OR(ISTEXT('2_Growth_Comparison'!H13),ISTEXT('2_Growth_Comparison'!H15)),"N/A",'2_Growth_Comparison'!H13/'2_Growth_Comparison'!H15),"N/A")</f>
        <v/>
      </c>
      <c r="I10" s="17">
        <f>IFERROR(IF(OR(ISTEXT('2_Growth_Comparison'!I13),ISTEXT('2_Growth_Comparison'!I15)),"N/A",'2_Growth_Comparison'!I13/'2_Growth_Comparison'!I15),"N/A")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c r="G11" s="17">
        <f>IFERROR(IF(OR(ISTEXT('2_Growth_Comparison'!G13),ISTEXT('2_Growth_Comparison'!G16)),"N/A",'2_Growth_Comparison'!G13*100/'2_Growth_Comparison'!G16),"N/A")</f>
        <v/>
      </c>
      <c r="H11" s="17">
        <f>IFERROR(IF(OR(ISTEXT('2_Growth_Comparison'!H13),ISTEXT('2_Growth_Comparison'!H16)),"N/A",'2_Growth_Comparison'!H13*100/'2_Growth_Comparison'!H16),"N/A")</f>
        <v/>
      </c>
      <c r="I11" s="17">
        <f>IFERROR(IF(OR(ISTEXT('2_Growth_Comparison'!I13),ISTEXT('2_Growth_Comparison'!I16)),"N/A",'2_Growth_Comparison'!I13*100/'2_Growth_Comparison'!I16),"N/A")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c r="G13" s="17">
        <f>IFERROR(IF(OR(ISTEXT('2_Growth_Comparison'!G19),ISTEXT('2_Growth_Comparison'!G21)),"N/A",'2_Growth_Comparison'!G19/'2_Growth_Comparison'!G21),"N/A")</f>
        <v/>
      </c>
      <c r="H13" s="17">
        <f>IFERROR(IF(OR(ISTEXT('2_Growth_Comparison'!H19),ISTEXT('2_Growth_Comparison'!H21)),"N/A",'2_Growth_Comparison'!H19/'2_Growth_Comparison'!H21),"N/A")</f>
        <v/>
      </c>
      <c r="I13" s="17">
        <f>IFERROR(IF(OR(ISTEXT('2_Growth_Comparison'!I19),ISTEXT('2_Growth_Comparison'!I21)),"N/A",'2_Growth_Comparison'!I19/'2_Growth_Comparison'!I21),"N/A")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c r="G14" s="17">
        <f>IFERROR(IF(OR(ISTEXT('2_Growth_Comparison'!G19),ISTEXT('2_Growth_Comparison'!G22)),"N/A",'2_Growth_Comparison'!G19*100/'2_Growth_Comparison'!G22),"N/A")</f>
        <v/>
      </c>
      <c r="H14" s="17">
        <f>IFERROR(IF(OR(ISTEXT('2_Growth_Comparison'!H19),ISTEXT('2_Growth_Comparison'!H22)),"N/A",'2_Growth_Comparison'!H19*100/'2_Growth_Comparison'!H22),"N/A")</f>
        <v/>
      </c>
      <c r="I14" s="17">
        <f>IFERROR(IF(OR(ISTEXT('2_Growth_Comparison'!I19),ISTEXT('2_Growth_Comparison'!I22)),"N/A",'2_Growth_Comparison'!I19*100/'2_Growth_Comparison'!I22),"N/A")</f>
        <v/>
      </c>
    </row>
    <row r="16">
      <c r="A16" s="15" t="inlineStr">
        <is>
          <t>Comments</t>
        </is>
      </c>
    </row>
    <row r="17" ht="130" customHeight="1">
      <c r="A17" s="16" t="inlineStr">
        <is>
          <t>SALES PER RUPEE OF ASSET (now computable FY20/FY21-FY26 from verified Annual Report data): Adani Power improved from ~0.37x (FY20, low utilisation/losses era) to a peak of ~0.65x (FY24), then fell back to ~0.41x (FY26) as its asset base ballooned ahead of revenue from new acquisitions still ramping up. Tata Power is stable in a ~0.34-0.45x band — typical of a regulated, asset-heavy integrated utility. Torrent Power is consistently the MOST asset-efficient of the three (~0.52-0.87x, peaking FY23 when DNH&amp;DD volumes hit a still-small asset base) — its regulated distribution business generates more revenue per rupee of assets than pure thermal generation does. SALES PER EMPLOYEE: comparable across time within Torrent (parent employs most staff: ~₹18-44 cr/employee trend) but NOT comparable across companies — Adani and Tata employee counts are standalone-parent only, while their revenue is consolidated (Tata's discoms/TPREL staff and Adani's pre-FY22 plant staff sit in subsidiaries). Adani's FY21 count of 84 (pre-amalgamation shell) makes that year's ratio meaningless and it is excluded from comment. Use the Torrent series as the benchmark and treat Adani/Tata Sales-per-Employee as indicative only, noting the basis in any write-up.</t>
        </is>
      </c>
    </row>
    <row r="18"/>
    <row r="19"/>
    <row r="20"/>
    <row r="21"/>
    <row r="22"/>
    <row r="23"/>
    <row r="24"/>
  </sheetData>
  <mergeCells count="3">
    <mergeCell ref="A1:I1"/>
    <mergeCell ref="A2:I2"/>
    <mergeCell ref="A17: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Extracted directly from the 'Segment Reporting' notes of each company's audited Annual Reports (FY21-FY26 reports uploaded by user).</t>
        </is>
      </c>
    </row>
    <row r="3" ht="6" customHeight="1"/>
    <row r="5">
      <c r="A5" s="15" t="inlineStr">
        <is>
          <t>ADANI POWER — 2 segments: 'Power Generation &amp; related activities' + 'Trading, Investment &amp; other activities'</t>
        </is>
      </c>
    </row>
    <row r="6">
      <c r="A6" s="9" t="inlineStr">
        <is>
          <t>Particulars</t>
        </is>
      </c>
      <c r="B6" s="9" t="inlineStr">
        <is>
          <t>FY20</t>
        </is>
      </c>
      <c r="C6" s="9" t="inlineStr">
        <is>
          <t>FY21</t>
        </is>
      </c>
      <c r="D6" s="9" t="inlineStr">
        <is>
          <t>FY22</t>
        </is>
      </c>
      <c r="E6" s="9" t="inlineStr">
        <is>
          <t>FY23</t>
        </is>
      </c>
      <c r="F6" s="9" t="inlineStr">
        <is>
          <t>FY24</t>
        </is>
      </c>
      <c r="G6" s="9" t="inlineStr">
        <is>
          <t>FY25</t>
        </is>
      </c>
      <c r="H6" s="9" t="inlineStr">
        <is>
          <t>FY26</t>
        </is>
      </c>
    </row>
    <row r="7">
      <c r="A7" s="10" t="inlineStr">
        <is>
          <t>Segment Revenue — Power Generation</t>
        </is>
      </c>
      <c r="B7" s="19" t="n">
        <v>26005.92</v>
      </c>
      <c r="C7" s="19" t="n">
        <v>25870.6</v>
      </c>
      <c r="D7" s="19" t="n">
        <v>27221.78</v>
      </c>
      <c r="E7" s="19" t="n">
        <v>37895.85</v>
      </c>
      <c r="F7" s="19" t="n">
        <v>50014.16</v>
      </c>
      <c r="G7" s="19" t="n">
        <v>56107.06</v>
      </c>
      <c r="H7" s="19" t="n">
        <v>54240.52</v>
      </c>
    </row>
    <row r="8">
      <c r="A8" s="10" t="inlineStr">
        <is>
          <t>Segment Revenue — Trading/Investment/Other</t>
        </is>
      </c>
      <c r="B8" s="19" t="n">
        <v>461.8</v>
      </c>
      <c r="C8" s="19" t="n">
        <v>350.88</v>
      </c>
      <c r="D8" s="19" t="n">
        <v>489.4</v>
      </c>
      <c r="E8" s="19" t="n">
        <v>877.45</v>
      </c>
      <c r="F8" s="19" t="n">
        <v>337.09</v>
      </c>
      <c r="G8" s="19" t="n">
        <v>96.03</v>
      </c>
      <c r="H8" s="19" t="n">
        <v>0</v>
      </c>
    </row>
    <row r="9">
      <c r="A9" s="10" t="inlineStr">
        <is>
          <t>Segment Results — Power Generation</t>
        </is>
      </c>
      <c r="B9" s="19" t="inlineStr">
        <is>
          <t>N/A</t>
        </is>
      </c>
      <c r="C9" s="19" t="inlineStr">
        <is>
          <t>N/A</t>
        </is>
      </c>
      <c r="D9" s="19" t="n">
        <v>6571.37</v>
      </c>
      <c r="E9" s="19" t="n">
        <v>6957.13</v>
      </c>
      <c r="F9" s="19" t="n">
        <v>20557.22</v>
      </c>
      <c r="G9" s="19" t="n">
        <v>16540.39</v>
      </c>
      <c r="H9" s="19" t="n">
        <v>15757.55</v>
      </c>
    </row>
    <row r="10">
      <c r="A10" s="10" t="inlineStr">
        <is>
          <t>Segment Results — Trading/Investment/Other</t>
        </is>
      </c>
      <c r="B10" s="19" t="inlineStr">
        <is>
          <t>N/A</t>
        </is>
      </c>
      <c r="C10" s="19" t="inlineStr">
        <is>
          <t>N/A</t>
        </is>
      </c>
      <c r="D10" s="19" t="n">
        <v>5.76</v>
      </c>
      <c r="E10" s="19" t="n">
        <v>717.5700000000001</v>
      </c>
      <c r="F10" s="19" t="n">
        <v>234.29</v>
      </c>
      <c r="G10" s="19" t="n">
        <v>-1.81</v>
      </c>
      <c r="H10" s="19" t="n">
        <v>13.68</v>
      </c>
    </row>
    <row r="11">
      <c r="A11" s="10" t="inlineStr">
        <is>
          <t>Segment Assets — Power Generation</t>
        </is>
      </c>
      <c r="B11" s="19" t="n">
        <v>74847.53999999999</v>
      </c>
      <c r="C11" s="19" t="n">
        <v>77747</v>
      </c>
      <c r="D11" s="19" t="n">
        <v>81888.09</v>
      </c>
      <c r="E11" s="19" t="n">
        <v>84364.22</v>
      </c>
      <c r="F11" s="19" t="n">
        <v>91378.85000000001</v>
      </c>
      <c r="G11" s="19" t="n">
        <v>111162.48</v>
      </c>
      <c r="H11" s="19" t="n">
        <v>139777.31</v>
      </c>
    </row>
    <row r="12">
      <c r="A12" s="10" t="inlineStr">
        <is>
          <t>Segment Assets — Trading/Investment/Other</t>
        </is>
      </c>
      <c r="B12" s="19" t="n">
        <v>177.46</v>
      </c>
      <c r="C12" s="19" t="n">
        <v>788.47</v>
      </c>
      <c r="D12" s="19" t="n">
        <v>42.02</v>
      </c>
      <c r="E12" s="19" t="n">
        <v>1134.26</v>
      </c>
      <c r="F12" s="19" t="n">
        <v>203.86</v>
      </c>
      <c r="G12" s="19" t="n">
        <v>1328.18</v>
      </c>
      <c r="H12" s="19" t="n">
        <v>1354.52</v>
      </c>
    </row>
    <row r="13" ht="40" customHeight="1">
      <c r="A13" s="13" t="inlineStr">
        <is>
          <t>FY20/21 segment results shown as N/A because the FY21 report used a different basis ('profit before interest…', not comparable); 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FY21</t>
        </is>
      </c>
      <c r="C16" s="9" t="inlineStr">
        <is>
          <t>FY22</t>
        </is>
      </c>
      <c r="D16" s="9" t="inlineStr">
        <is>
          <t>FY23</t>
        </is>
      </c>
      <c r="E16" s="9" t="inlineStr">
        <is>
          <t>FY24</t>
        </is>
      </c>
      <c r="F16" s="9" t="inlineStr">
        <is>
          <t>FY25</t>
        </is>
      </c>
      <c r="G16" s="9" t="inlineStr">
        <is>
          <t>FY26</t>
        </is>
      </c>
    </row>
    <row r="17">
      <c r="A17" s="10" t="inlineStr">
        <is>
          <t>Segment Revenue — Generation/Thermal &amp; Hydro</t>
        </is>
      </c>
      <c r="B17" s="19" t="n">
        <v>13432.77</v>
      </c>
      <c r="C17" s="19" t="n">
        <v>11211.03</v>
      </c>
      <c r="D17" s="19" t="n">
        <v>18211.35</v>
      </c>
      <c r="E17" s="19" t="n">
        <v>19613.61</v>
      </c>
      <c r="F17" s="19" t="n">
        <v>19739.07</v>
      </c>
      <c r="G17" s="19" t="n">
        <v>11635.93</v>
      </c>
    </row>
    <row r="18">
      <c r="A18" s="10" t="inlineStr">
        <is>
          <t>Segment Revenue — Renewables</t>
        </is>
      </c>
      <c r="B18" s="19" t="n">
        <v>5887.65</v>
      </c>
      <c r="C18" s="19" t="n">
        <v>7748.9</v>
      </c>
      <c r="D18" s="19" t="n">
        <v>8196.91</v>
      </c>
      <c r="E18" s="19" t="n">
        <v>10175.29</v>
      </c>
      <c r="F18" s="19" t="n">
        <v>9876.360000000001</v>
      </c>
      <c r="G18" s="19" t="n">
        <v>15027.82</v>
      </c>
    </row>
    <row r="19">
      <c r="A19" s="10" t="inlineStr">
        <is>
          <t>Segment Revenue — Transmission &amp; Distribution</t>
        </is>
      </c>
      <c r="B19" s="19" t="n">
        <v>16829.85</v>
      </c>
      <c r="C19" s="19" t="n">
        <v>27493.17</v>
      </c>
      <c r="D19" s="19" t="n">
        <v>34529.36</v>
      </c>
      <c r="E19" s="19" t="n">
        <v>36205.82</v>
      </c>
      <c r="F19" s="19" t="n">
        <v>39120.52</v>
      </c>
      <c r="G19" s="19" t="n">
        <v>41338.59</v>
      </c>
    </row>
    <row r="20">
      <c r="A20" s="10" t="inlineStr">
        <is>
          <t>Segment Revenue — Others</t>
        </is>
      </c>
      <c r="B20" s="19" t="n">
        <v>262.16</v>
      </c>
      <c r="C20" s="19" t="n">
        <v>317.8</v>
      </c>
      <c r="D20" s="19" t="n">
        <v>413.56</v>
      </c>
      <c r="E20" s="19" t="n">
        <v>430.62</v>
      </c>
      <c r="F20" s="19" t="n">
        <v>431.04</v>
      </c>
      <c r="G20" s="19" t="n">
        <v>431.79</v>
      </c>
    </row>
    <row r="21">
      <c r="A21" s="10" t="inlineStr">
        <is>
          <t>Segment Results — Generation/Thermal &amp; Hydro</t>
        </is>
      </c>
      <c r="B21" s="19" t="n">
        <v>2709.81</v>
      </c>
      <c r="C21" s="19" t="n">
        <v>2632.75</v>
      </c>
      <c r="D21" s="19" t="n">
        <v>5092.16</v>
      </c>
      <c r="E21" s="19" t="n">
        <v>2569.61</v>
      </c>
      <c r="F21" s="19" t="n">
        <v>2878.91</v>
      </c>
      <c r="G21" s="19" t="n">
        <v>1137.94</v>
      </c>
    </row>
    <row r="22">
      <c r="A22" s="10" t="inlineStr">
        <is>
          <t>Segment Results — Renewables</t>
        </is>
      </c>
      <c r="B22" s="19" t="n">
        <v>1494.25</v>
      </c>
      <c r="C22" s="19" t="n">
        <v>1923.57</v>
      </c>
      <c r="D22" s="19" t="n">
        <v>1932.01</v>
      </c>
      <c r="E22" s="19" t="n">
        <v>2147.1</v>
      </c>
      <c r="F22" s="19" t="n">
        <v>2880.68</v>
      </c>
      <c r="G22" s="19" t="n">
        <v>4340.93</v>
      </c>
    </row>
    <row r="23">
      <c r="A23" s="10" t="inlineStr">
        <is>
          <t>Segment Results — Transmission &amp; Distribution</t>
        </is>
      </c>
      <c r="B23" s="19" t="n">
        <v>1677.02</v>
      </c>
      <c r="C23" s="19" t="n">
        <v>2138.49</v>
      </c>
      <c r="D23" s="19" t="n">
        <v>2197.68</v>
      </c>
      <c r="E23" s="19" t="n">
        <v>2418.22</v>
      </c>
      <c r="F23" s="19" t="n">
        <v>3128.27</v>
      </c>
      <c r="G23" s="19" t="n">
        <v>4307.95</v>
      </c>
    </row>
    <row r="24">
      <c r="A24" s="10" t="inlineStr">
        <is>
          <t>Segment Results — Others</t>
        </is>
      </c>
      <c r="B24" s="19" t="n">
        <v>83.16</v>
      </c>
      <c r="C24" s="19" t="n">
        <v>-286.03</v>
      </c>
      <c r="D24" s="19" t="n">
        <v>-308.17</v>
      </c>
      <c r="E24" s="19" t="n">
        <v>105.38</v>
      </c>
      <c r="F24" s="19" t="n">
        <v>112.8</v>
      </c>
      <c r="G24" s="19" t="n">
        <v>104.72</v>
      </c>
    </row>
    <row r="25">
      <c r="A25" s="10" t="inlineStr">
        <is>
          <t>Segment Assets — Generation/Thermal &amp; Hydro</t>
        </is>
      </c>
      <c r="B25" s="19" t="n">
        <v>37717.32</v>
      </c>
      <c r="C25" s="19" t="n">
        <v>38201.93</v>
      </c>
      <c r="D25" s="19" t="n">
        <v>41201.04</v>
      </c>
      <c r="E25" s="19" t="n">
        <v>39315.88</v>
      </c>
      <c r="F25" s="19" t="n">
        <v>39708.11</v>
      </c>
      <c r="G25" s="19" t="n">
        <v>41697.31</v>
      </c>
    </row>
    <row r="26">
      <c r="A26" s="10" t="inlineStr">
        <is>
          <t>Segment Assets — Renewables</t>
        </is>
      </c>
      <c r="B26" s="19" t="n">
        <v>22702.98</v>
      </c>
      <c r="C26" s="19" t="n">
        <v>27589.28</v>
      </c>
      <c r="D26" s="19" t="n">
        <v>29744.49</v>
      </c>
      <c r="E26" s="19" t="n">
        <v>40459.25</v>
      </c>
      <c r="F26" s="19" t="n">
        <v>51355.61</v>
      </c>
      <c r="G26" s="19" t="n">
        <v>56921.28</v>
      </c>
    </row>
    <row r="27">
      <c r="A27" s="10" t="inlineStr">
        <is>
          <t>Segment Assets — Transmission &amp; Distribution</t>
        </is>
      </c>
      <c r="B27" s="19" t="n">
        <v>25542.61</v>
      </c>
      <c r="C27" s="19" t="n">
        <v>32411.34</v>
      </c>
      <c r="D27" s="19" t="n">
        <v>37477.26</v>
      </c>
      <c r="E27" s="19" t="n">
        <v>42059.9</v>
      </c>
      <c r="F27" s="19" t="n">
        <v>45707.75</v>
      </c>
      <c r="G27" s="19" t="n">
        <v>53428.87</v>
      </c>
    </row>
    <row r="28">
      <c r="A28" s="10" t="inlineStr">
        <is>
          <t>Segment Assets — Others + Unallocable</t>
        </is>
      </c>
      <c r="B28" s="19" t="n">
        <v>12875.95</v>
      </c>
      <c r="C28" s="19" t="n">
        <v>14682.04</v>
      </c>
      <c r="D28" s="19" t="n">
        <v>19926.25</v>
      </c>
      <c r="E28" s="19" t="n">
        <v>17718.46</v>
      </c>
      <c r="F28" s="19" t="n">
        <v>19939.82</v>
      </c>
      <c r="G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~2.1x (₹26,006cr FY20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2.6x (₹5,888cr FY21 → ₹15,028cr FY26), results up 2.9x (₹1,494cr → ₹4,341cr), and segment assets up 2.5x to ₹56,921cr, overtaking every other Tata segment. Adani Power has no renewables segment (that sits in sister company Adani Green). TRANSMISSION &amp; DISTRIBUTION: Tata Power's largest and steadiest segment — revenue grew ₹16,830cr → ₹41,339cr (FY21→FY26, boosted by the Odisha discoms) with consistently positive, regulated-return results (₹1,677cr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FY21</t>
        </is>
      </c>
      <c r="B2" t="n">
        <v>13432.77</v>
      </c>
      <c r="C2" t="n">
        <v>5887.65</v>
      </c>
      <c r="D2" t="n">
        <v>16829.85</v>
      </c>
      <c r="E2" t="n">
        <v>25870.6</v>
      </c>
    </row>
    <row r="3">
      <c r="A3" t="inlineStr">
        <is>
          <t>FY22</t>
        </is>
      </c>
      <c r="B3" t="n">
        <v>11211.03</v>
      </c>
      <c r="C3" t="n">
        <v>7748.9</v>
      </c>
      <c r="D3" t="n">
        <v>27493.17</v>
      </c>
      <c r="E3" t="n">
        <v>27221.78</v>
      </c>
    </row>
    <row r="4">
      <c r="A4" t="inlineStr">
        <is>
          <t>FY23</t>
        </is>
      </c>
      <c r="B4" t="n">
        <v>18211.35</v>
      </c>
      <c r="C4" t="n">
        <v>8196.91</v>
      </c>
      <c r="D4" t="n">
        <v>34529.36</v>
      </c>
      <c r="E4" t="n">
        <v>37895.85</v>
      </c>
    </row>
    <row r="5">
      <c r="A5" t="inlineStr">
        <is>
          <t>FY24</t>
        </is>
      </c>
      <c r="B5" t="n">
        <v>19613.61</v>
      </c>
      <c r="C5" t="n">
        <v>10175.29</v>
      </c>
      <c r="D5" t="n">
        <v>36205.82</v>
      </c>
      <c r="E5" t="n">
        <v>50014.16</v>
      </c>
    </row>
    <row r="6">
      <c r="A6" t="inlineStr">
        <is>
          <t>FY25</t>
        </is>
      </c>
      <c r="B6" t="n">
        <v>19739.07</v>
      </c>
      <c r="C6" t="n">
        <v>9876.360000000001</v>
      </c>
      <c r="D6" t="n">
        <v>39120.52</v>
      </c>
      <c r="E6" t="n">
        <v>56107.06</v>
      </c>
    </row>
    <row r="7">
      <c r="A7" t="inlineStr">
        <is>
          <t>FY26</t>
        </is>
      </c>
      <c r="B7" t="n">
        <v>11635.93</v>
      </c>
      <c r="C7" t="n">
        <v>15027.82</v>
      </c>
      <c r="D7" t="n">
        <v>41338.59</v>
      </c>
      <c r="E7"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94% (per FY26 AOC-1 — earlier reported as 100%)</t>
        </is>
      </c>
      <c r="D6" s="11" t="inlineStr">
        <is>
          <t>1,200+ MW coal thermal, MP; ex-Essar Power MP (CIRP, Mar 2022). FY26: turnover ₹3,614cr, PAT ₹784cr.</t>
        </is>
      </c>
    </row>
    <row r="7" ht="45" customHeight="1">
      <c r="A7" s="11" t="inlineStr">
        <is>
          <t>Adani Power</t>
        </is>
      </c>
      <c r="B7" s="11" t="inlineStr">
        <is>
          <t>Korba Power Ltd (KPL, ex-Lanco Amarkantak)</t>
        </is>
      </c>
      <c r="C7" s="11" t="inlineStr">
        <is>
          <t>100%</t>
        </is>
      </c>
      <c r="D7" s="11" t="inlineStr">
        <is>
          <t>600 MW coal thermal, Chhattisgarh (CIRP, Sep 2024). FY26: turnover ₹1,552cr, PAT ₹354cr.</t>
        </is>
      </c>
    </row>
    <row r="8" ht="45" customHeight="1">
      <c r="A8" s="11" t="inlineStr">
        <is>
          <t>Adani Power</t>
        </is>
      </c>
      <c r="B8" s="11" t="inlineStr">
        <is>
          <t>Moxie Power Generation Ltd (ex-Coastal Energen)</t>
        </is>
      </c>
      <c r="C8" s="11" t="inlineStr">
        <is>
          <t>49% — but consolidated as a SUBSIDIARY in AOC-1 Part A (control basis), not a JV</t>
        </is>
      </c>
      <c r="D8" s="11" t="inlineStr">
        <is>
          <t>1,200 MW, Thoothukudi, Tamil Nadu. FY26: turnover ₹2,985cr, PAT ₹268cr. Listed in AOC-1 subsidiaries despite 49% equity — control established via arrangement with DAIT.</t>
        </is>
      </c>
    </row>
    <row r="9" ht="45" customHeight="1">
      <c r="A9" s="11" t="inlineStr">
        <is>
          <t>Adani Power</t>
        </is>
      </c>
      <c r="B9" s="11" t="inlineStr">
        <is>
          <t>Vidarbha Industries Power Ltd (VIPL)</t>
        </is>
      </c>
      <c r="C9" s="11" t="inlineStr">
        <is>
          <t>100% (acquired 07-Jul-2025)</t>
        </is>
      </c>
      <c r="D9" s="11" t="inlineStr">
        <is>
          <t>600 MW, Nagpur (CIRP). FY26: turnover ₹1,327cr, PAT ₹347cr.</t>
        </is>
      </c>
    </row>
    <row r="10" ht="45" customHeight="1">
      <c r="A10" s="11" t="inlineStr">
        <is>
          <t>Adani Power</t>
        </is>
      </c>
      <c r="B10" s="11" t="inlineStr">
        <is>
          <t>Adani Power Dahej Ltd / Pench Thermal Energy (MP) Ltd / Kutchh Power Generation Ltd</t>
        </is>
      </c>
      <c r="C10" s="11" t="inlineStr">
        <is>
          <t>100% each</t>
        </is>
      </c>
      <c r="D10" s="11" t="inlineStr">
        <is>
          <t>Greenfield thermal project SPVs (Dahej, Pench, Kutchh).</t>
        </is>
      </c>
    </row>
    <row r="11" ht="45" customHeight="1">
      <c r="A11" s="11" t="inlineStr">
        <is>
          <t>Adani Power</t>
        </is>
      </c>
      <c r="B11" s="11" t="inlineStr">
        <is>
          <t>Anuppur Thermal Energy (MP) / Mirzapur Thermal Energy (UP) / Orrisa Thermal Energy</t>
        </is>
      </c>
      <c r="C11" s="11" t="inlineStr">
        <is>
          <t>100% each (acquired/renamed 2024)</t>
        </is>
      </c>
      <c r="D11" s="11" t="inlineStr">
        <is>
          <t>New thermal project SPVs for capacity expansion (Anuppur, Mirzapur, Odisha sites).</t>
        </is>
      </c>
    </row>
    <row r="12" ht="45" customHeight="1">
      <c r="A12" s="11" t="inlineStr">
        <is>
          <t>Adani Power</t>
        </is>
      </c>
      <c r="B12" s="11" t="inlineStr">
        <is>
          <t>Mahan Fuel Management / Resurgent Fuel Management Ltd</t>
        </is>
      </c>
      <c r="C12" s="11" t="inlineStr">
        <is>
          <t>100% each</t>
        </is>
      </c>
      <c r="D12" s="11" t="inlineStr">
        <is>
          <t>Fuel sourcing/management SPVs.</t>
        </is>
      </c>
    </row>
    <row r="13" ht="45" customHeight="1">
      <c r="A13" s="11" t="inlineStr">
        <is>
          <t>Adani Power</t>
        </is>
      </c>
      <c r="B13" s="11" t="inlineStr">
        <is>
          <t>Alcedo / Chandenvalle / Emberiza Infra Park Ltd</t>
        </is>
      </c>
      <c r="C13" s="11" t="inlineStr">
        <is>
          <t>100% each</t>
        </is>
      </c>
      <c r="D13" s="11" t="inlineStr">
        <is>
          <t>Infrastructure park SPVs.</t>
        </is>
      </c>
    </row>
    <row r="14" ht="45" customHeight="1">
      <c r="A14" s="11" t="inlineStr">
        <is>
          <t>Adani Power</t>
        </is>
      </c>
      <c r="B14" s="11" t="inlineStr">
        <is>
          <t>Adani Atomic Energy Ltd (AAEL)</t>
        </is>
      </c>
      <c r="C14" s="11" t="inlineStr">
        <is>
          <t>100% (incorporated 11-Feb-2026)</t>
        </is>
      </c>
      <c r="D14" s="11" t="inlineStr">
        <is>
          <t>Nuclear power entry post SHANTI Act 2025.</t>
        </is>
      </c>
    </row>
    <row r="15" ht="45" customHeight="1">
      <c r="A15" s="11" t="inlineStr">
        <is>
          <t>Adani Power</t>
        </is>
      </c>
      <c r="B15" s="11" t="inlineStr">
        <is>
          <t>Adani Power Middle East Ltd (AED) / Adani Power Global Pte Ltd (US$)</t>
        </is>
      </c>
      <c r="C15" s="11" t="inlineStr">
        <is>
          <t>100% each (incorporated 2024)</t>
        </is>
      </c>
      <c r="D15" s="11" t="inlineStr">
        <is>
          <t>Overseas ventures (Middle East; Singapore trading/holding).</t>
        </is>
      </c>
    </row>
    <row r="16" ht="45" customHeight="1">
      <c r="A16" s="11" t="inlineStr">
        <is>
          <t>Adani Power</t>
        </is>
      </c>
      <c r="B16" s="11" t="inlineStr">
        <is>
          <t>Adani Power Resources Ltd</t>
        </is>
      </c>
      <c r="C16" s="11" t="inlineStr">
        <is>
          <t>51%</t>
        </is>
      </c>
      <c r="D16" s="11" t="inlineStr">
        <is>
          <t>Resource-related SPV (immaterial size).</t>
        </is>
      </c>
    </row>
    <row r="17" ht="45" customHeight="1">
      <c r="A17" s="11" t="inlineStr">
        <is>
          <t>Adani Power</t>
        </is>
      </c>
      <c r="B17" s="11" t="inlineStr">
        <is>
          <t>[TOTAL: 19 entities in FY26 AOC-1 Part A — fully verified]</t>
        </is>
      </c>
      <c r="C17" s="11" t="inlineStr">
        <is>
          <t>—</t>
        </is>
      </c>
      <c r="D17" s="11" t="inlineStr">
        <is>
          <t>The 6 operating cos (Adani Power Maharashtra/Rajasthan, Udupi, Raipur/Raigarh Energen, Adani Power (Mundra)) were amalgamated INTO the parent effective 1-Oct-2021 and no longer appear.</t>
        </is>
      </c>
    </row>
    <row r="18" ht="45" customHeight="1">
      <c r="A18" s="11" t="inlineStr">
        <is>
          <t>Tata Power</t>
        </is>
      </c>
      <c r="B18" s="11" t="inlineStr">
        <is>
          <t>Tata Power Renewable Energy Ltd (TPREL)</t>
        </is>
      </c>
      <c r="C18" s="11" t="inlineStr">
        <is>
          <t>88.57% (per FY26 AOC-1 — VERIFIED; not ~100% as earlier assumed)</t>
        </is>
      </c>
      <c r="D18" s="11" t="inlineStr">
        <is>
          <t>Renewables arm (solar/wind/rooftop/EV charging). FY26: turnover ₹11,748cr, PAT ₹1,268cr. ~11.4% held by BlackRock-led consortium since FY23 equity raise.</t>
        </is>
      </c>
    </row>
    <row r="19" ht="45" customHeight="1">
      <c r="A19" s="11" t="inlineStr">
        <is>
          <t>Tata Power</t>
        </is>
      </c>
      <c r="B19" s="11" t="inlineStr">
        <is>
          <t>Tata Power Delhi Distribution Ltd (Tata Power-DDL)</t>
        </is>
      </c>
      <c r="C19" s="11" t="inlineStr">
        <is>
          <t>51% (VERIFIED per FY26 AOC-1)</t>
        </is>
      </c>
      <c r="D19" s="11" t="inlineStr">
        <is>
          <t>North Delhi discom (JV with Delhi Govt). FY26: turnover ₹10,426cr, PAT ₹1,299cr.</t>
        </is>
      </c>
    </row>
    <row r="20" ht="45" customHeight="1">
      <c r="A20" s="11" t="inlineStr">
        <is>
          <t>Tata Power</t>
        </is>
      </c>
      <c r="B20" s="11" t="inlineStr">
        <is>
          <t>TP Central / Western / Southern / Northern Odisha Distribution Ltds</t>
        </is>
      </c>
      <c r="C20" s="11" t="inlineStr">
        <is>
          <t>51% each (VERIFIED)</t>
        </is>
      </c>
      <c r="D20" s="11" t="inlineStr">
        <is>
          <t>Four Odisha discoms (PPP, 2020-21). FY26 turnover: TPCODL ₹6,313cr, TPWODL ₹6,355cr, TPSODL ₹2,542cr, TPNODL ₹4,769cr; all PAT-positive.</t>
        </is>
      </c>
    </row>
    <row r="21" ht="45" customHeight="1">
      <c r="A21" s="11" t="inlineStr">
        <is>
          <t>Tata Power</t>
        </is>
      </c>
      <c r="B21" s="11" t="inlineStr">
        <is>
          <t>Tata Power Solar Systems Ltd (TPSSL)</t>
        </is>
      </c>
      <c r="C21" s="11" t="inlineStr">
        <is>
          <t>In AOC-1 (100%, via TPREL structure)</t>
        </is>
      </c>
      <c r="D21" s="11" t="inlineStr">
        <is>
          <t>Solar cell/module manufacturing + EPC.</t>
        </is>
      </c>
    </row>
    <row r="22" ht="45" customHeight="1">
      <c r="A22" s="11" t="inlineStr">
        <is>
          <t>Tata Power</t>
        </is>
      </c>
      <c r="B22" s="11" t="inlineStr">
        <is>
          <t>Coastal Gujarat Power Ltd (CGPL) — NOTE</t>
        </is>
      </c>
      <c r="C22" s="11" t="inlineStr">
        <is>
          <t>Merged into parent, 1-Apr-2020</t>
        </is>
      </c>
      <c r="D22" s="11" t="inlineStr">
        <is>
          <t>Mundra UMPP is now a direct Generation-segment asset, not a subsidiary.</t>
        </is>
      </c>
    </row>
    <row r="23" ht="45" customHeight="1">
      <c r="A23" s="11" t="inlineStr">
        <is>
          <t>Tata Power</t>
        </is>
      </c>
      <c r="B23" s="11" t="inlineStr">
        <is>
          <t>[TOTAL: ~113 entities in FY26 AOC-1 Part A]</t>
        </is>
      </c>
      <c r="C23" s="11" t="inlineStr">
        <is>
          <t>—</t>
        </is>
      </c>
      <c r="D23" s="11" t="inlineStr">
        <is>
          <t>Includes dozens of renewable/transmission SPVs under TPREL and Resurgent Power Ventures; full list in FY26 Annual Report pg. 666+ (AOC-1).</t>
        </is>
      </c>
    </row>
    <row r="24" ht="45" customHeight="1">
      <c r="A24" s="11" t="inlineStr">
        <is>
          <t>Torrent Power</t>
        </is>
      </c>
      <c r="B24" s="11" t="inlineStr">
        <is>
          <t>Torrent Power Grid Ltd</t>
        </is>
      </c>
      <c r="C24" s="11" t="inlineStr">
        <is>
          <t>74% (VERIFIED; PowerGrid Corp holds 26%)</t>
        </is>
      </c>
      <c r="D24" s="11" t="inlineStr">
        <is>
          <t>Interstate power transmission JV-structured subsidiary.</t>
        </is>
      </c>
    </row>
    <row r="25" ht="45" customHeight="1">
      <c r="A25" s="11" t="inlineStr">
        <is>
          <t>Torrent Power</t>
        </is>
      </c>
      <c r="B25" s="11" t="inlineStr">
        <is>
          <t>Transmission SPVs (Solapur Transmission Ltd &amp; 4 others at 74%)</t>
        </is>
      </c>
      <c r="C25" s="11" t="inlineStr">
        <is>
          <t>74% each (per FY26 AOC-1)</t>
        </is>
      </c>
      <c r="D25" s="11" t="inlineStr">
        <is>
          <t>Intra/interstate transmission project SPVs.</t>
        </is>
      </c>
    </row>
    <row r="26" ht="45" customHeight="1">
      <c r="A26" s="11" t="inlineStr">
        <is>
          <t>Torrent Power</t>
        </is>
      </c>
      <c r="B26" s="11" t="inlineStr">
        <is>
          <t>Torrent Pipavav Generation Ltd</t>
        </is>
      </c>
      <c r="C26" s="11" t="inlineStr">
        <is>
          <t>95% (VERIFIED)</t>
        </is>
      </c>
      <c r="D26" s="11" t="inlineStr">
        <is>
          <t>Power generation project, Pipavav.</t>
        </is>
      </c>
    </row>
    <row r="27" ht="45" customHeight="1">
      <c r="A27" s="11" t="inlineStr">
        <is>
          <t>Torrent Power</t>
        </is>
      </c>
      <c r="B27" s="11" t="inlineStr">
        <is>
          <t>Dadra &amp; Nagar Haveli and Daman &amp; Diu Power Distribution Corp Ltd</t>
        </is>
      </c>
      <c r="C27" s="11" t="inlineStr">
        <is>
          <t>51% (VERIFIED)</t>
        </is>
      </c>
      <c r="D27" s="11" t="inlineStr">
        <is>
          <t>UT power distribution licensee (acquired Apr 2022).</t>
        </is>
      </c>
    </row>
    <row r="28" ht="45" customHeight="1">
      <c r="A28" s="11" t="inlineStr">
        <is>
          <t>Torrent Power</t>
        </is>
      </c>
      <c r="B28" s="11" t="inlineStr">
        <is>
          <t>Nabha Power Ltd</t>
        </is>
      </c>
      <c r="C28" s="11" t="inlineStr">
        <is>
          <t>100% (acquired Jun 2026)</t>
        </is>
      </c>
      <c r="D28" s="11" t="inlineStr">
        <is>
          <t>2x700 MW supercritical coal plant, Punjab (from L&amp;T).</t>
        </is>
      </c>
    </row>
    <row r="29" ht="45" customHeight="1">
      <c r="A29" s="11" t="inlineStr">
        <is>
          <t>Torrent Power</t>
        </is>
      </c>
      <c r="B29" s="11" t="inlineStr">
        <is>
          <t>Torrent Solargen, Latur Renewable, Surya Vidyut, Torrent Akshay Urja, Jodhpur Wind Farms, MSKVY solar SPVs, Torrent Electricals, Newzone India, etc.</t>
        </is>
      </c>
      <c r="C29" s="11" t="inlineStr">
        <is>
          <t>100% each</t>
        </is>
      </c>
      <c r="D29" s="11" t="inlineStr">
        <is>
          <t>Renewable generation SPVs (solar/wind incl. Maharashtra MSKVY series), cables/electricals, and other ventures.</t>
        </is>
      </c>
    </row>
    <row r="30" ht="45" customHeight="1">
      <c r="A30" s="11" t="inlineStr">
        <is>
          <t>Torrent Power</t>
        </is>
      </c>
      <c r="B30" s="11" t="inlineStr">
        <is>
          <t>[TOTAL: ~60 entities in FY26 AOC-1 — 53 at 100%, 5 at 74%, 1 at 95%, 1 at 51%]</t>
        </is>
      </c>
      <c r="C30" s="11" t="inlineStr">
        <is>
          <t>—</t>
        </is>
      </c>
      <c r="D30" s="11" t="inlineStr">
        <is>
          <t>Verified from the FY26 Annual Report AOC-1 statement.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Wangchhu Hydroelectric Power Ltd (Bhutan)</t>
        </is>
      </c>
      <c r="C6" s="11" t="inlineStr">
        <is>
          <t>JV (per FY26 AOC-1 Part B — the Group's only listed associate/JV)</t>
        </is>
      </c>
      <c r="D6" s="11" t="inlineStr">
        <is>
          <t>570 MW Wangchhu hydro project JV with Druk Green Power Corp (~₹6,000 cr); Shareholders Agreement Sep 2025; 'yet to commence operations' per AOC-1. VERIFIED.</t>
        </is>
      </c>
    </row>
    <row r="7" ht="45" customHeight="1">
      <c r="A7" s="11" t="inlineStr">
        <is>
          <t>Adani Power</t>
        </is>
      </c>
      <c r="B7" s="11" t="inlineStr">
        <is>
          <t>Moxie Power Generation Ltd — RECLASSIFIED</t>
        </is>
      </c>
      <c r="C7" s="11" t="inlineStr">
        <is>
          <t>49% equity but consolidated as SUBSIDIARY (see Sheet 7)</t>
        </is>
      </c>
      <c r="D7" s="11" t="inlineStr">
        <is>
          <t>CORRECTION: earlier flagged as a JV; the FY26 AOC-1 lists it under Part A (Subsidiaries) — Adani has control despite 49% equity.</t>
        </is>
      </c>
    </row>
    <row r="8" ht="45" customHeight="1">
      <c r="A8" s="11" t="inlineStr">
        <is>
          <t>Adani Power</t>
        </is>
      </c>
      <c r="B8" s="11" t="inlineStr">
        <is>
          <t>Jaiprakash Power Ventures Ltd (JPVL)</t>
        </is>
      </c>
      <c r="C8" s="11" t="inlineStr">
        <is>
          <t>24% (indirect, via resolution plan)</t>
        </is>
      </c>
      <c r="D8" s="11" t="inlineStr">
        <is>
          <t>Adani Power as 'Implementing Entity'; NCLT-approved ~Mar 2026 (~₹14,535 cr). Not yet in FY26 AOC-1 Part B (transaction completing post year-end).</t>
        </is>
      </c>
    </row>
    <row r="9" ht="45" customHeight="1">
      <c r="A9" s="11" t="inlineStr">
        <is>
          <t>Tata Power</t>
        </is>
      </c>
      <c r="B9" s="11" t="inlineStr">
        <is>
          <t>Tata Projects, Resurgent Power Ventures (26%), industrial JVs &amp; associates</t>
        </is>
      </c>
      <c r="C9" s="11" t="inlineStr">
        <is>
          <t>Various</t>
        </is>
      </c>
      <c r="D9" s="11" t="inlineStr">
        <is>
          <t>Tata Power holds numerous associates/JVs (share of profit ₹708cr FY26, ₹793cr FY25 per consolidated P&amp;L); full Part B list in FY26 Annual Report AOC-1.</t>
        </is>
      </c>
    </row>
    <row r="10" ht="45" customHeight="1">
      <c r="A10" s="11" t="inlineStr">
        <is>
          <t>Tata Power</t>
        </is>
      </c>
      <c r="B10" s="11" t="inlineStr">
        <is>
          <t>Dorjilung Hydro Power Ltd (Bhutan)</t>
        </is>
      </c>
      <c r="C10" s="11" t="inlineStr">
        <is>
          <t>Stake not disclosed in extract</t>
        </is>
      </c>
      <c r="D10" s="11" t="inlineStr">
        <is>
          <t>1,125 MW hydro project under development with Druk Green.</t>
        </is>
      </c>
    </row>
    <row r="11" ht="45" customHeight="1">
      <c r="A11" s="11" t="inlineStr">
        <is>
          <t>Torrent Power</t>
        </is>
      </c>
      <c r="B11" s="11" t="inlineStr">
        <is>
          <t>Associates (2 per earlier AOC-1 references)</t>
        </is>
      </c>
      <c r="C11" s="11" t="inlineStr">
        <is>
          <t>Not extracted</t>
        </is>
      </c>
      <c r="D11" s="11"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1"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1" t="inlineStr">
        <is>
          <t>VERIFIED (FY23 Annual Report)</t>
        </is>
      </c>
    </row>
    <row r="7" ht="70" customHeight="1">
      <c r="A7" s="11" t="inlineStr">
        <is>
          <t>Tata Power</t>
        </is>
      </c>
      <c r="B7" s="11"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1" t="inlineStr">
        <is>
          <t>VERIFIED (FY23 Annual Report) — replaces earlier unverified figure</t>
        </is>
      </c>
    </row>
    <row r="8" ht="70" customHeight="1">
      <c r="A8" s="11" t="inlineStr">
        <is>
          <t>Torrent Power</t>
        </is>
      </c>
      <c r="B8" s="11" t="inlineStr">
        <is>
          <t>VERIFIED from FY23 consolidated Investments notes: NON-CURRENT — quoted investments (incl. Government of India bonds held as the GERC Multi-Year-Tariff-mandated 'contingency reserve' for its Gujarat distribution licences) of ~₹15.94cr market value ₹15.70cr as at 31-Mar-2023 (down from ₹132.82cr FY22 as bonds matured/were reclassified). CURRENT — ₹682.31cr total (vs ₹253.27cr FY22): unquoted mutual funds ₹656.03cr + statutory contingency-reserve investments ₹1.93cr + other ₹24.35cr. The GoI-bond holdings are regulatory-mandated (usable only for GERC-specified purposes), not discretionary treasury.</t>
        </is>
      </c>
      <c r="C8" s="11" t="inlineStr">
        <is>
          <t>VERIFIED (FY23 Annual Report)</t>
        </is>
      </c>
    </row>
    <row r="10">
      <c r="A10" s="20"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FY20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9" t="inlineStr">
        <is>
          <t>Metric</t>
        </is>
      </c>
      <c r="B5" s="9" t="inlineStr">
        <is>
          <t>Adani Power</t>
        </is>
      </c>
      <c r="C5" s="9" t="inlineStr">
        <is>
          <t>Tata Power</t>
        </is>
      </c>
      <c r="D5" s="9" t="inlineStr">
        <is>
          <t>Torrent Power</t>
        </is>
      </c>
      <c r="E5" s="9" t="inlineStr">
        <is>
          <t>Nifty Energy (sector)</t>
        </is>
      </c>
      <c r="F5" s="9" t="inlineStr">
        <is>
          <t>Nifty 50 (market)</t>
        </is>
      </c>
    </row>
    <row r="6" ht="26" customHeight="1">
      <c r="A6" s="11" t="inlineStr">
        <is>
          <t>Price at start (14-Jul-2025, adj)</t>
        </is>
      </c>
      <c r="B6" s="11" t="inlineStr">
        <is>
          <t>118.93</t>
        </is>
      </c>
      <c r="C6" s="11" t="inlineStr">
        <is>
          <t>405.39</t>
        </is>
      </c>
      <c r="D6" s="11" t="inlineStr">
        <is>
          <t>1,349.89</t>
        </is>
      </c>
      <c r="E6" s="11" t="inlineStr">
        <is>
          <t>36,231.65</t>
        </is>
      </c>
      <c r="F6" s="11" t="inlineStr">
        <is>
          <t>24,968.40</t>
        </is>
      </c>
    </row>
    <row r="7" ht="26" customHeight="1">
      <c r="A7" s="11" t="inlineStr">
        <is>
          <t>Price at end (15-Jul-2026)</t>
        </is>
      </c>
      <c r="B7" s="11" t="inlineStr">
        <is>
          <t>218.97</t>
        </is>
      </c>
      <c r="C7" s="11" t="inlineStr">
        <is>
          <t>380.90</t>
        </is>
      </c>
      <c r="D7" s="11" t="inlineStr">
        <is>
          <t>1,441.10</t>
        </is>
      </c>
      <c r="E7" s="11" t="inlineStr">
        <is>
          <t>39,381.25</t>
        </is>
      </c>
      <c r="F7" s="11" t="inlineStr">
        <is>
          <t>24,078.50</t>
        </is>
      </c>
    </row>
    <row r="8" ht="26" customHeight="1">
      <c r="A8" s="11" t="inlineStr">
        <is>
          <t>52-week weekly-close range</t>
        </is>
      </c>
      <c r="B8" s="11" t="inlineStr">
        <is>
          <t>113.40 - 243.37</t>
        </is>
      </c>
      <c r="C8" s="11" t="inlineStr">
        <is>
          <t>343.12 - 441.81</t>
        </is>
      </c>
      <c r="D8" s="11" t="inlineStr">
        <is>
          <t>1,204.41 - 1,730.01</t>
        </is>
      </c>
      <c r="E8" s="11" t="inlineStr">
        <is>
          <t>33,098.30 - 40,878.00</t>
        </is>
      </c>
      <c r="F8" s="11" t="inlineStr">
        <is>
          <t>22,713.10 - 26,328.55</t>
        </is>
      </c>
    </row>
    <row r="9" ht="26" customHeight="1">
      <c r="A9" s="11" t="inlineStr">
        <is>
          <t>1-year return (COMPUTED)</t>
        </is>
      </c>
      <c r="B9" s="11" t="inlineStr">
        <is>
          <t>+84.1%</t>
        </is>
      </c>
      <c r="C9" s="11" t="inlineStr">
        <is>
          <t>-6.0%</t>
        </is>
      </c>
      <c r="D9" s="11" t="inlineStr">
        <is>
          <t>+6.8%</t>
        </is>
      </c>
      <c r="E9" s="11" t="inlineStr">
        <is>
          <t>+8.7%</t>
        </is>
      </c>
      <c r="F9" s="11" t="inlineStr">
        <is>
          <t>-3.6%</t>
        </is>
      </c>
    </row>
    <row r="10" ht="26" customHeight="1">
      <c r="A10" s="11" t="inlineStr">
        <is>
          <t>Weekly return std dev (COMPUTED)</t>
        </is>
      </c>
      <c r="B10" s="11" t="inlineStr">
        <is>
          <t>4.95%</t>
        </is>
      </c>
      <c r="C10" s="11" t="inlineStr">
        <is>
          <t>2.90%</t>
        </is>
      </c>
      <c r="D10" s="11" t="inlineStr">
        <is>
          <t>4.55%</t>
        </is>
      </c>
      <c r="E10" s="11" t="inlineStr">
        <is>
          <t>2.30%</t>
        </is>
      </c>
      <c r="F10" s="11" t="inlineStr">
        <is>
          <t>1.70%</t>
        </is>
      </c>
    </row>
    <row r="11" ht="26" customHeight="1">
      <c r="A11" s="11" t="inlineStr">
        <is>
          <t>Annualized volatility = sd x sqrt(52)</t>
        </is>
      </c>
      <c r="B11" s="11" t="inlineStr">
        <is>
          <t>35.7%</t>
        </is>
      </c>
      <c r="C11" s="11" t="inlineStr">
        <is>
          <t>20.9%</t>
        </is>
      </c>
      <c r="D11" s="11" t="inlineStr">
        <is>
          <t>32.8%</t>
        </is>
      </c>
      <c r="E11" s="11" t="inlineStr">
        <is>
          <t>16.6%</t>
        </is>
      </c>
      <c r="F11" s="11" t="inlineStr">
        <is>
          <t>12.3%</t>
        </is>
      </c>
    </row>
    <row r="12" ht="26" customHeight="1">
      <c r="A12" s="11" t="inlineStr">
        <is>
          <t>Beta vs Nifty 50 / market (COMPUTED)</t>
        </is>
      </c>
      <c r="B12" s="11" t="inlineStr">
        <is>
          <t>1.13</t>
        </is>
      </c>
      <c r="C12" s="11" t="inlineStr">
        <is>
          <t>0.62</t>
        </is>
      </c>
      <c r="D12" s="11" t="inlineStr">
        <is>
          <t>1.46</t>
        </is>
      </c>
      <c r="E12" s="11" t="inlineStr">
        <is>
          <t>0.03</t>
        </is>
      </c>
      <c r="F12" s="11" t="inlineStr">
        <is>
          <t>1.00</t>
        </is>
      </c>
    </row>
    <row r="13" ht="26" customHeight="1">
      <c r="A13" s="11" t="inlineStr">
        <is>
          <t>Beta vs Nifty Energy / sector (COMPUTED)</t>
        </is>
      </c>
      <c r="B13" s="11" t="inlineStr">
        <is>
          <t>0.54</t>
        </is>
      </c>
      <c r="C13" s="11" t="inlineStr">
        <is>
          <t>0.03</t>
        </is>
      </c>
      <c r="D13" s="11" t="inlineStr">
        <is>
          <t>0.30</t>
        </is>
      </c>
      <c r="E13" s="11" t="inlineStr">
        <is>
          <t>1.00</t>
        </is>
      </c>
      <c r="F13" s="11" t="inlineStr">
        <is>
          <t>n/a</t>
        </is>
      </c>
    </row>
    <row r="14" ht="26" customHeight="1">
      <c r="A14" s="11" t="inlineStr">
        <is>
          <t>Return vs market (stock - Nifty 50)</t>
        </is>
      </c>
      <c r="B14" s="11" t="inlineStr">
        <is>
          <t>+87.7 pts</t>
        </is>
      </c>
      <c r="C14" s="11" t="inlineStr">
        <is>
          <t>-2.5 pts</t>
        </is>
      </c>
      <c r="D14" s="11" t="inlineStr">
        <is>
          <t>+10.3 pts</t>
        </is>
      </c>
      <c r="E14" s="11" t="inlineStr">
        <is>
          <t>+12.3 pts</t>
        </is>
      </c>
      <c r="F14" s="11" t="inlineStr">
        <is>
          <t>—</t>
        </is>
      </c>
    </row>
    <row r="15" ht="26" customHeight="1">
      <c r="A15" s="11" t="inlineStr">
        <is>
          <t>Return vs sector (stock - Nifty Energy)</t>
        </is>
      </c>
      <c r="B15" s="11" t="inlineStr">
        <is>
          <t>+75.4 pts</t>
        </is>
      </c>
      <c r="C15" s="11" t="inlineStr">
        <is>
          <t>-14.7 pts</t>
        </is>
      </c>
      <c r="D15" s="11" t="inlineStr">
        <is>
          <t>-1.9 pts</t>
        </is>
      </c>
      <c r="E15" s="11" t="inlineStr">
        <is>
          <t>—</t>
        </is>
      </c>
      <c r="F15" s="11" t="inlineStr">
        <is>
          <t>—</t>
        </is>
      </c>
    </row>
    <row r="17">
      <c r="A17" s="21" t="inlineStr">
        <is>
          <t>Data note</t>
        </is>
      </c>
    </row>
    <row r="18" ht="60" customHeight="1">
      <c r="A18" s="16"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15" t="inlineStr">
        <is>
          <t>Comments — which share is most volatile?</t>
        </is>
      </c>
    </row>
    <row r="23" ht="130" customHeight="1">
      <c r="A23" s="16"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2"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actual Integrated Annual Report PDFs covering — Adani Power FY20-21, FY22-23, FY23-24 (financials section), FY24-25 and FY25-26; Tata Power FY21-22, FY22-23, FY23-24, FY24-25 and FY25-26; Torrent Power FY20-21 through FY25-26 (all six). Using each report's current + prior-year comparative columns, the consolidated Revenue/Total Income, PAT and Total Assets series in Sheet 2 are now PRIMARY-VERIFIED for FY20-FY26 (Adani, Torrent) and FY21-FY26 (Tata), and standalone employee counts were extracted where disclosed. Only FY19 (all metrics beyond secondary-sourced revenue/PAT) and the share-price rows remain unverified/yellow. Segment tables, AOC-1 subsidiary lists and the Investments notes are IN these PDFs but not yet extracted into Sheets 6-9.</t>
        </is>
      </c>
    </row>
    <row r="7"/>
    <row r="8"/>
    <row r="9"/>
    <row r="10"/>
    <row r="11"/>
    <row r="13">
      <c r="A13" s="15" t="inlineStr">
        <is>
          <t>Priority list — verify these before submission</t>
        </is>
      </c>
    </row>
    <row r="14" ht="30" customHeight="1">
      <c r="A14" s="16" t="inlineStr">
        <is>
          <t>1. Year-end (31-Mar) share prices, FY19-FY26, all three companies — still not found for any year; pull from NSE historical data or Yahoo Finance (split-adjust Adani Power for its Sep-2025 1:5 split).</t>
        </is>
      </c>
    </row>
    <row r="15" ht="30" customHeight="1">
      <c r="A15" s="16" t="inlineStr">
        <is>
          <t>2. Total Assets — now VERIFIED FY20-FY26 (Adani, Torrent) and FY21-FY26 (Tata) from the Annual Reports. Only FY19 (all 3) and Tata FY20 remain open (needs the FY19-20 Annual Reports).</t>
        </is>
      </c>
    </row>
    <row r="16" ht="30" customHeight="1">
      <c r="A16" s="16" t="inlineStr">
        <is>
          <t>3. Employee headcount — standalone-parent counts now VERIFIED where disclosed (Adani FY21/23/25/26; Tata FY22/23/25/26; Torrent FY21-FY26). Group-wide/consolidated headcount is still not disclosed anywhere and would be needed for a true cross-company Sales/Employee comparison.</t>
        </is>
      </c>
    </row>
    <row r="17" ht="30" customHeight="1">
      <c r="A17" s="16" t="inlineStr">
        <is>
          <t>4. Segment-wise (Ind AS 108) tables — DONE: Sheet 6 now carries verified segment revenue/results/assets for Adani Power (FY20-FY26, 2 segments) and Tata Power (FY21-FY26, 4 segments), plus the verified finding that Torrent Power reports NO segments under Ind AS 108 (single integrated business).</t>
        </is>
      </c>
    </row>
    <row r="18" ht="30" customHeight="1">
      <c r="A18" s="16" t="inlineStr">
        <is>
          <t>5. Weekly price series — DONE: 54-week adjusted-close series for all 3 stocks + Nifty 50 + Nifty Energy parsed from Yahoo HTML files in the repo; returns, volatility, and market &amp; sector betas computed in Sheet 11. Still open: year-end FY19-FY26 share prices for the Sheet 2 growth table (needs older price history).</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6" t="inlineStr">
        <is>
          <t>8. Investments (ex subsidiaries/associates/JVs) as at 31-Mar-2023 — DONE: Sheet 9 now carries verified figures from all three FY23 Annual Reports (Adani ₹42.51cr non-current + ₹611.54cr MFs; Tata ₹1,301.21cr; Torrent ₹15.94cr bonds + ₹682.31cr current).</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2026-07-15T18:13:09Z</dcterms:created>
  <dcterms:modified xsi:type="dcterms:W3CDTF">2026-07-15T18:13:09Z</dcterms:modified>
</cp:coreProperties>
</file>
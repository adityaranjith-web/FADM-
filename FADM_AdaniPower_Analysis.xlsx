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1_Business_Overview" sheetId="2" state="visible" r:id="rId2"/>
    <sheet name="2_Growth_Comparison" sheetId="3" state="visible" r:id="rId3"/>
    <sheet name="2b_Growth_Chart_Data" sheetId="4" state="hidden" r:id="rId4"/>
    <sheet name="3_Sales_per_Asset_Employee" sheetId="5" state="visible" r:id="rId5"/>
    <sheet name="4_Acquisitions" sheetId="6" state="visible" r:id="rId6"/>
    <sheet name="5_Shareholding_Pattern" sheetId="7" state="visible" r:id="rId7"/>
    <sheet name="6_Business_Segments" sheetId="8" state="visible" r:id="rId8"/>
    <sheet name="7_Group_Structure" sheetId="9" state="visible" r:id="rId9"/>
    <sheet name="8_Associates_JVs" sheetId="10" state="visible" r:id="rId10"/>
    <sheet name="9_Investments" sheetId="11" state="visible" r:id="rId11"/>
    <sheet name="10_Financing_Changes" sheetId="12" state="visible" r:id="rId12"/>
    <sheet name="11_Returns_Volatility" sheetId="13" state="visible" r:id="rId13"/>
    <sheet name="Weekly_Price_Data" sheetId="14" state="visible" r:id="rId14"/>
    <sheet name="12_Major_Announcements" sheetId="15" state="visible" r:id="rId15"/>
    <sheet name="12b_Announcement_Chart_Data" sheetId="16" state="hidden" r:id="rId16"/>
    <sheet name="13_Sources_and_Gap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b val="1"/>
      <color rgb="001F4E78"/>
      <sz val="20"/>
    </font>
    <font>
      <b val="1"/>
    </font>
    <font>
      <b val="1"/>
      <color rgb="001F4E78"/>
      <sz val="13"/>
    </font>
    <font>
      <b val="1"/>
      <color rgb="00C00000"/>
      <sz val="12"/>
    </font>
    <font>
      <i val="1"/>
    </font>
    <font>
      <b val="1"/>
      <color rgb="001F4E78"/>
      <sz val="16"/>
    </font>
    <font>
      <i val="1"/>
      <color rgb="00808080"/>
      <sz val="10"/>
    </font>
    <font>
      <b val="1"/>
      <color rgb="00FFFFFF"/>
      <sz val="11"/>
    </font>
    <font>
      <i val="1"/>
      <color rgb="00808080"/>
      <sz val="9"/>
    </font>
    <font>
      <b val="1"/>
      <i val="1"/>
    </font>
    <font>
      <b val="1"/>
      <color rgb="001F4E78"/>
      <sz val="12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0" fontId="0" fillId="2" borderId="1" applyAlignment="1" pivotButton="0" quotePrefix="0" xfId="0">
      <alignment vertical="top" wrapText="1"/>
    </xf>
    <xf numFmtId="0" fontId="5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/ Total Income Trend, FY19-FY26 (₹ crore)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'2b_Growth_Chart_Data'!B1</f>
            </strRef>
          </tx>
          <spPr>
            <a:ln>
              <a:prstDash val="solid"/>
            </a:ln>
          </spPr>
          <cat>
            <numRef>
              <f>'2b_Growth_Chart_Data'!$A$2:$A$9</f>
            </numRef>
          </cat>
          <val>
            <numRef>
              <f>'2b_Growth_Chart_Data'!$B$2:$B$9</f>
            </numRef>
          </val>
        </ser>
        <ser>
          <idx val="1"/>
          <order val="1"/>
          <tx>
            <strRef>
              <f>'2b_Growth_Chart_Data'!C1</f>
            </strRef>
          </tx>
          <spPr>
            <a:ln>
              <a:prstDash val="solid"/>
            </a:ln>
          </spPr>
          <cat>
            <numRef>
              <f>'2b_Growth_Chart_Data'!$A$2:$A$9</f>
            </numRef>
          </cat>
          <val>
            <numRef>
              <f>'2b_Growth_Chart_Data'!$C$2:$C$9</f>
            </numRef>
          </val>
        </ser>
        <ser>
          <idx val="2"/>
          <order val="2"/>
          <tx>
            <strRef>
              <f>'2b_Growth_Chart_Data'!D1</f>
            </strRef>
          </tx>
          <spPr>
            <a:ln>
              <a:prstDash val="solid"/>
            </a:ln>
          </spPr>
          <cat>
            <numRef>
              <f>'2b_Growth_Chart_Data'!$A$2:$A$9</f>
            </numRef>
          </cat>
          <val>
            <numRef>
              <f>'2b_Growth_Chart_Data'!$D$2:$D$9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crore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Profit / PAT Trend, FY19-FY26 (₹ crore)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'2b_Growth_Chart_Data'!B11</f>
            </strRef>
          </tx>
          <spPr>
            <a:ln>
              <a:prstDash val="solid"/>
            </a:ln>
          </spPr>
          <cat>
            <numRef>
              <f>'2b_Growth_Chart_Data'!$A$12:$A$19</f>
            </numRef>
          </cat>
          <val>
            <numRef>
              <f>'2b_Growth_Chart_Data'!$B$12:$B$19</f>
            </numRef>
          </val>
        </ser>
        <ser>
          <idx val="1"/>
          <order val="1"/>
          <tx>
            <strRef>
              <f>'2b_Growth_Chart_Data'!C11</f>
            </strRef>
          </tx>
          <spPr>
            <a:ln>
              <a:prstDash val="solid"/>
            </a:ln>
          </spPr>
          <cat>
            <numRef>
              <f>'2b_Growth_Chart_Data'!$A$12:$A$19</f>
            </numRef>
          </cat>
          <val>
            <numRef>
              <f>'2b_Growth_Chart_Data'!$C$12:$C$19</f>
            </numRef>
          </val>
        </ser>
        <ser>
          <idx val="2"/>
          <order val="2"/>
          <tx>
            <strRef>
              <f>'2b_Growth_Chart_Data'!D11</f>
            </strRef>
          </tx>
          <spPr>
            <a:ln>
              <a:prstDash val="solid"/>
            </a:ln>
          </spPr>
          <cat>
            <numRef>
              <f>'2b_Growth_Chart_Data'!$A$12:$A$19</f>
            </numRef>
          </cat>
          <val>
            <numRef>
              <f>'2b_Growth_Chart_Data'!$D$12:$D$19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crore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Adani Power vs Nifty 50 — Available Price Points (sparse; replace with full weekly series)</a:t>
            </a:r>
          </a:p>
        </rich>
      </tx>
    </title>
    <plotArea>
      <lineChart>
        <grouping val="standard"/>
        <ser>
          <idx val="0"/>
          <order val="0"/>
          <tx>
            <strRef>
              <f>'Weekly_Price_Data'!B1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'Weekly_Price_Data'!$A$2:$A$17</f>
            </numRef>
          </cat>
          <val>
            <numRef>
              <f>'Weekly_Price_Data'!$B$2:$B$17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Adani Power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Adani Power Share Price Around Major Announcements (sparse real data points — extend with daily NSE data)</a:t>
            </a:r>
          </a:p>
        </rich>
      </tx>
    </title>
    <plotArea>
      <lineChart>
        <grouping val="standard"/>
        <ser>
          <idx val="0"/>
          <order val="0"/>
          <tx>
            <strRef>
              <f>'12b_Announcement_Chart_Data'!B1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'12b_Announcement_Chart_Data'!$A$2:$A$6</f>
            </numRef>
          </cat>
          <val>
            <numRef>
              <f>'12b_Announcement_Chart_Data'!$B$2:$B$6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per share (split-adjusted)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Research Agent</author>
  </authors>
  <commentList>
    <comment ref="C7" authorId="0" shapeId="0">
      <text>
        <t>Fill in your Group number and name before submission.</t>
      </text>
    </comment>
  </commentList>
</comments>
</file>

<file path=xl/comments/comment2.xml><?xml version="1.0" encoding="utf-8"?>
<comments xmlns="http://schemas.openxmlformats.org/spreadsheetml/2006/main">
  <authors>
    <author>Research Agent</author>
  </authors>
  <commentList>
    <comment ref="B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F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F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G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4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4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F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F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G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1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21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21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21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F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C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D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E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F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G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H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I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B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C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D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E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F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G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H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I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B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C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D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E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F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G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H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I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69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936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936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3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60" customWidth="1" min="3" max="3"/>
    <col width="20" customWidth="1" min="4" max="4"/>
  </cols>
  <sheetData>
    <row r="2">
      <c r="B2" s="1" t="inlineStr">
        <is>
          <t>FADM Group Assignment — Part 1</t>
        </is>
      </c>
    </row>
    <row r="4">
      <c r="B4" s="2" t="inlineStr">
        <is>
          <t>Target Company:</t>
        </is>
      </c>
      <c r="C4" t="inlineStr">
        <is>
          <t>Adani Power Ltd (NSE: ADANIPOWER, BSE: 533096)</t>
        </is>
      </c>
    </row>
    <row r="5">
      <c r="B5" s="2" t="inlineStr">
        <is>
          <t>Competitors:</t>
        </is>
      </c>
      <c r="C5" t="inlineStr">
        <is>
          <t>Tata Power Company Ltd (NSE: TATAPOWER)  |  Torrent Power Ltd (NSE: TORNTPOWER)</t>
        </is>
      </c>
    </row>
    <row r="6">
      <c r="B6" s="2" t="inlineStr">
        <is>
          <t>Sector:</t>
        </is>
      </c>
      <c r="C6" t="inlineStr">
        <is>
          <t>Power Generation, Transmission &amp; Distribution (India)</t>
        </is>
      </c>
    </row>
    <row r="7">
      <c r="B7" s="2" t="inlineStr">
        <is>
          <t>Group / Student:</t>
        </is>
      </c>
      <c r="C7" s="3" t="inlineStr">
        <is>
          <t>[FILL IN: Group-X / Student Name]</t>
        </is>
      </c>
    </row>
    <row r="8">
      <c r="B8" s="2" t="inlineStr">
        <is>
          <t>Date prepared:</t>
        </is>
      </c>
      <c r="C8" t="inlineStr">
        <is>
          <t>15 July 2026</t>
        </is>
      </c>
    </row>
    <row r="10">
      <c r="B10" s="4" t="inlineStr">
        <is>
          <t>Contents</t>
        </is>
      </c>
    </row>
    <row r="11">
      <c r="B11" t="inlineStr">
        <is>
          <t>1. Business Overview &amp; Market</t>
        </is>
      </c>
    </row>
    <row r="12">
      <c r="B12" t="inlineStr">
        <is>
          <t>2. Sales / Asset / Profit / Market-Price Growth (5-yr) — Comparison &amp; Chart</t>
        </is>
      </c>
    </row>
    <row r="13">
      <c r="B13" t="inlineStr">
        <is>
          <t>3. Sales per Rupee of Asset &amp; Sales per Employee</t>
        </is>
      </c>
    </row>
    <row r="14">
      <c r="B14" t="inlineStr">
        <is>
          <t>4. Business Acquisitions &amp; Post-Acquisition Impact</t>
        </is>
      </c>
    </row>
    <row r="15">
      <c r="B15" t="inlineStr">
        <is>
          <t>5. Shareholding Pattern (Promoters, FII, DII/MF, Pledge, Free Float)</t>
        </is>
      </c>
    </row>
    <row r="16">
      <c r="B16" t="inlineStr">
        <is>
          <t>6. Reportable Business Segments — 5-yr Trend &amp; Comparison</t>
        </is>
      </c>
    </row>
    <row r="17">
      <c r="B17" t="inlineStr">
        <is>
          <t>7. Group Structure — Subsidiaries</t>
        </is>
      </c>
    </row>
    <row r="18">
      <c r="B18" t="inlineStr">
        <is>
          <t>8. Associates &amp; Joint Ventures</t>
        </is>
      </c>
    </row>
    <row r="19">
      <c r="B19" t="inlineStr">
        <is>
          <t>9. Other Investments (ex subs/associates/JVs) up to FY23</t>
        </is>
      </c>
    </row>
    <row r="20">
      <c r="B20" t="inlineStr">
        <is>
          <t>10. Major Changes in Financing (5-yr)</t>
        </is>
      </c>
    </row>
    <row r="21">
      <c r="B21" t="inlineStr">
        <is>
          <t>11. Share Price Return vs Sectoral &amp; Market Index (weekly, 1-yr) &amp; Volatility</t>
        </is>
      </c>
    </row>
    <row r="22">
      <c r="B22" t="inlineStr">
        <is>
          <t>12. Major Announcements (last 1 year) &amp; Price Reaction — Chart</t>
        </is>
      </c>
    </row>
    <row r="23">
      <c r="B23" t="inlineStr">
        <is>
          <t>13. Sources &amp; Data Gaps (READ FIRST)</t>
        </is>
      </c>
    </row>
    <row r="25">
      <c r="B25" s="5" t="inlineStr">
        <is>
          <t>IMPORTANT — READ BEFORE SUBMITTING</t>
        </is>
      </c>
    </row>
    <row r="26">
      <c r="B26" s="6" t="inlineStr">
        <is>
          <t>This workbook was assembled from live web research (news wires, brokerage notes, exchange filings, company press releases) because direct scripted access to screener.in, moneycontrol, NSE/BSE historical-data pages and the companies' own Annual Report PDFs was blocked in this environment (HTTP 403 on automated fetch). Cells shaded YELLOW with a red comment marker are figures that could not be independently verified and MUST be re-checked / filled in from primary sources (Annual Reports, screener.in, BSE/NSE filings) before you submit. See the 'Sources_and_Gaps' sheet for a full list.</t>
        </is>
      </c>
    </row>
    <row r="27"/>
    <row r="28"/>
    <row r="29"/>
    <row r="30"/>
    <row r="31"/>
    <row r="32"/>
    <row r="33"/>
  </sheetData>
  <mergeCells count="1">
    <mergeCell ref="B26:D3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5" customWidth="1" min="2" max="2"/>
    <col width="45" customWidth="1" min="3" max="3"/>
    <col width="45" customWidth="1" min="4" max="4"/>
  </cols>
  <sheetData>
    <row r="1" ht="24" customHeight="1">
      <c r="A1" s="7" t="inlineStr">
        <is>
          <t>1. Business Overview &amp; Market</t>
        </is>
      </c>
    </row>
    <row r="2">
      <c r="A2" s="8" t="inlineStr">
        <is>
          <t>Products/services and market in which each company operates</t>
        </is>
      </c>
    </row>
    <row r="3" ht="6" customHeight="1"/>
    <row r="5">
      <c r="A5" s="9" t="inlineStr"/>
      <c r="B5" s="9" t="inlineStr">
        <is>
          <t>Adani Power Ltd (Target)</t>
        </is>
      </c>
      <c r="C5" s="9" t="inlineStr">
        <is>
          <t>Tata Power Company Ltd (Competitor)</t>
        </is>
      </c>
      <c r="D5" s="9" t="inlineStr">
        <is>
          <t>Torrent Power Ltd (Competitor)</t>
        </is>
      </c>
    </row>
    <row r="6" ht="60" customHeight="1">
      <c r="A6" s="10" t="inlineStr">
        <is>
          <t>Positioning</t>
        </is>
      </c>
      <c r="B6" s="11" t="inlineStr">
        <is>
          <t>India's largest PRIVATE thermal (base-load) power producer; part of the Adani Group.</t>
        </is>
      </c>
      <c r="C6" s="11" t="inlineStr">
        <is>
          <t>India's largest vertically integrated power company (generation + transmission + distribution).</t>
        </is>
      </c>
      <c r="D6" s="11" t="inlineStr">
        <is>
          <t>Leading integrated power utility; part of Torrent Group (also pharma &amp; city-gas distribution).</t>
        </is>
      </c>
    </row>
    <row r="7" ht="60" customHeight="1">
      <c r="A7" s="10" t="inlineStr">
        <is>
          <t>Core products/services</t>
        </is>
      </c>
      <c r="B7" s="11" t="inlineStr">
        <is>
          <t>Thermal power generation (subcritical to ultra-supercritical); sold via long-term &amp; short-term PPAs and merchant sales on power exchanges.</t>
        </is>
      </c>
      <c r="C7" s="11" t="inlineStr">
        <is>
          <t>Generation (thermal+hydro), Transmission, Distribution (regulated discoms); shifting toward 100% renewable generation; new-age products (solar rooftop, EV charging).</t>
        </is>
      </c>
      <c r="D7" s="11" t="inlineStr">
        <is>
          <t>Generation (gas, coal, solar, wind), Transmission (~1,340 ckm HV lines), Distribution (licensed + franchise).</t>
        </is>
      </c>
    </row>
    <row r="8" ht="60" customHeight="1">
      <c r="A8" s="10" t="inlineStr">
        <is>
          <t>Market / geographic footprint</t>
        </is>
      </c>
      <c r="B8" s="11" t="inlineStr">
        <is>
          <t>12 plants across 8 states (Gujarat, Maharashtra, Karnataka, Rajasthan, Chhattisgarh, MP, Jharkhand, Tamil Nadu); ~7.3% of India's coal-based generation capacity; exports power to Bangladesh via Godda plant.</t>
        </is>
      </c>
      <c r="C8" s="11" t="inlineStr">
        <is>
          <t>Pan-India: Mumbai &amp; Delhi discoms, 4 Odisha discoms, Ajmer discom; ~12.6 million distribution customers; renewable assets nationwide; expanding into Bhutan hydro &amp; nuclear.</t>
        </is>
      </c>
      <c r="D8" s="11" t="inlineStr">
        <is>
          <t>Gujarat (Ahmedabad, Surat, Dahej), Dadra &amp; Nagar Haveli/Daman &amp; Diu, franchise areas Agra (UP) &amp; Bhiwandi (Maharashtra); ~4.3 million customers p.a.</t>
        </is>
      </c>
    </row>
    <row r="9" ht="60" customHeight="1">
      <c r="A9" s="10" t="inlineStr">
        <is>
          <t>Installed capacity (approx., 2025-26)</t>
        </is>
      </c>
      <c r="B9" s="11" t="inlineStr">
        <is>
          <t>~18,150 MW (post Vidarbha acquisition, Jul 2025), all thermal.</t>
        </is>
      </c>
      <c r="C9" s="11" t="inlineStr">
        <is>
          <t>~11.6 GW renewable identified/under TPREL alone + thermal (Mundra 4 GW+) + hydro + distribution licenses covering 12.6mn customers.</t>
        </is>
      </c>
      <c r="D9" s="11" t="inlineStr">
        <is>
          <t>~2,730 MW gas + 362 MW coal + ~663 MW solar + ~1,220 MW wind (as of FY23/Jan-24 disclosures); Nabha Power (2x700MW coal) added June 2026.</t>
        </is>
      </c>
    </row>
    <row r="10" ht="60" customHeight="1">
      <c r="A10" s="10" t="inlineStr">
        <is>
          <t>Strategic direction</t>
        </is>
      </c>
      <c r="B10" s="11" t="inlineStr">
        <is>
          <t>Capacity expansion via IBC/CIRP acquisitions (Mahan, Korba, Moxie, Vidarbha, JPVL); new Assam UMPP (3,200 MW, ~₹48,000 cr); entry into nuclear power (Adani Atomic Energy Ltd, Feb 2026); Bhutan hydro JV with Druk Green.</t>
        </is>
      </c>
      <c r="C10" s="11" t="inlineStr">
        <is>
          <t>Targeting ₹1 lakh crore revenue &amp; ₹10,000 cr PAT by 2030; nuclear, battery storage, solar manufacturing (Odisha); pumped hydro storage (Bhivpuri, Shirawta); Bhutan hydro portfolio (5,033 MW identified).</t>
        </is>
      </c>
      <c r="D10" s="11" t="inlineStr">
        <is>
          <t>₹80,000 crore 5-yr capex plan: +3 GW thermal (incl. Nabha), ~3.96 GW renewables, ~3 GW pumped storage; exploring Green Hydrogen/Ammonia.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</cols>
  <sheetData>
    <row r="1" ht="24" customHeight="1">
      <c r="A1" s="7" t="inlineStr">
        <is>
          <t>2. Growth Comparison: Sales, Assets, Profit, Market Price (FY19-FY26)</t>
        </is>
      </c>
    </row>
    <row r="2">
      <c r="A2" s="8" t="inlineStr">
        <is>
          <t>₹ crore, Consolidated. FY24-FY26 columns VERIFIED from primary Annual Reports (uploaded). Yellow = still needs verification.</t>
        </is>
      </c>
    </row>
    <row r="3" ht="6" customHeight="1"/>
    <row r="5">
      <c r="A5" s="9" t="inlineStr">
        <is>
          <t>Company / Metric</t>
        </is>
      </c>
      <c r="B5" s="9" t="inlineStr">
        <is>
          <t>FY19</t>
        </is>
      </c>
      <c r="C5" s="9" t="inlineStr">
        <is>
          <t>FY20</t>
        </is>
      </c>
      <c r="D5" s="9" t="inlineStr">
        <is>
          <t>FY21</t>
        </is>
      </c>
      <c r="E5" s="9" t="inlineStr">
        <is>
          <t>FY22</t>
        </is>
      </c>
      <c r="F5" s="9" t="inlineStr">
        <is>
          <t>FY23</t>
        </is>
      </c>
      <c r="G5" s="9" t="inlineStr">
        <is>
          <t>FY24</t>
        </is>
      </c>
      <c r="H5" s="9" t="inlineStr">
        <is>
          <t>FY25</t>
        </is>
      </c>
      <c r="I5" s="9" t="inlineStr">
        <is>
          <t>FY26</t>
        </is>
      </c>
      <c r="J5" s="9" t="inlineStr">
        <is>
          <t>CAGR</t>
        </is>
      </c>
    </row>
    <row r="7">
      <c r="A7" s="2" t="inlineStr">
        <is>
          <t>Adani Power — Revenue / Total Income (₹ cr)</t>
        </is>
      </c>
      <c r="B7" t="n">
        <v>26362</v>
      </c>
      <c r="C7" t="n">
        <v>27842</v>
      </c>
      <c r="D7" t="n">
        <v>28150</v>
      </c>
      <c r="E7" t="n">
        <v>31687</v>
      </c>
      <c r="F7" t="n">
        <v>43041</v>
      </c>
      <c r="G7" t="n">
        <v>60281.48</v>
      </c>
      <c r="H7" t="n">
        <v>58905.83</v>
      </c>
      <c r="I7" t="n">
        <v>57865.28</v>
      </c>
      <c r="J7" s="12">
        <f>IFERROR(IF(OR(B7="N/A",I7="N/A"),"N/A",(I7/B7)^(1/7)-1),"N/A")</f>
        <v/>
      </c>
    </row>
    <row r="8">
      <c r="A8" s="2" t="inlineStr">
        <is>
          <t>Adani Power — Net Profit / PAT (₹ cr)</t>
        </is>
      </c>
      <c r="B8" t="n">
        <v>-984.4</v>
      </c>
      <c r="C8" t="n">
        <v>-2274.8</v>
      </c>
      <c r="D8" t="n">
        <v>1270</v>
      </c>
      <c r="E8" t="n">
        <v>4911.6</v>
      </c>
      <c r="F8" t="n">
        <v>10727</v>
      </c>
      <c r="G8" t="n">
        <v>20828.79</v>
      </c>
      <c r="H8" t="n">
        <v>12749.61</v>
      </c>
      <c r="I8" t="n">
        <v>12971.08</v>
      </c>
      <c r="J8" s="12">
        <f>IFERROR(IF(OR(B8="N/A",I8="N/A"),"N/A",(I8/B8)^(1/7)-1),"N/A")</f>
        <v/>
      </c>
    </row>
    <row r="9">
      <c r="A9" s="2" t="inlineStr">
        <is>
          <t>Adani Power — Total Assets (₹ cr)</t>
        </is>
      </c>
      <c r="B9" s="3" t="inlineStr">
        <is>
          <t>N/A</t>
        </is>
      </c>
      <c r="C9" s="3" t="inlineStr">
        <is>
          <t>N/A</t>
        </is>
      </c>
      <c r="D9" s="3" t="inlineStr">
        <is>
          <t>N/A</t>
        </is>
      </c>
      <c r="E9" s="3" t="inlineStr">
        <is>
          <t>N/A</t>
        </is>
      </c>
      <c r="F9" s="3" t="inlineStr">
        <is>
          <t>N/A</t>
        </is>
      </c>
      <c r="G9" t="n">
        <v>92324.77</v>
      </c>
      <c r="H9" t="n">
        <v>112917.57</v>
      </c>
      <c r="I9" t="n">
        <v>142279.92</v>
      </c>
      <c r="J9" s="12">
        <f>IFERROR(IF(OR(B9="N/A",I9="N/A"),"N/A",(I9/B9)^(1/7)-1),"N/A")</f>
        <v/>
      </c>
    </row>
    <row r="10">
      <c r="A10" s="2" t="inlineStr">
        <is>
          <t>Adani Power — Employees (#)</t>
        </is>
      </c>
      <c r="B10" s="3" t="inlineStr">
        <is>
          <t>N/A</t>
        </is>
      </c>
      <c r="C10" s="3" t="inlineStr">
        <is>
          <t>N/A</t>
        </is>
      </c>
      <c r="D10" s="3" t="inlineStr">
        <is>
          <t>N/A</t>
        </is>
      </c>
      <c r="E10" s="3" t="inlineStr">
        <is>
          <t>N/A</t>
        </is>
      </c>
      <c r="F10" s="3" t="inlineStr">
        <is>
          <t>N/A</t>
        </is>
      </c>
      <c r="G10" s="3" t="inlineStr">
        <is>
          <t>N/A</t>
        </is>
      </c>
      <c r="H10" t="n">
        <v>4210</v>
      </c>
      <c r="I10" t="n">
        <v>3967</v>
      </c>
      <c r="J10" s="12">
        <f>IFERROR(IF(OR(B10="N/A",I10="N/A"),"N/A",(I10/B10)^(1/7)-1),"N/A")</f>
        <v/>
      </c>
    </row>
    <row r="11" ht="40" customHeight="1">
      <c r="A11" s="13" t="inlineStr">
        <is>
          <t>FY24-FY26 figures verified from Adani Power's audited Integrated Annual Reports (Directors' Report financial highlights &amp; Balance Sheet). FY24 Total Assets/FY19-24 Employees still unverified. Employee count is STANDALONE permanent employees on Company rolls (not group-wide headcount incl. subsidiaries) — prior FY23 estimate of 9,885 (third-party, group-wide basis) is not comparable to this basis and has been removed pending a like-for-like figure. FY24 PAT (₹20,829cr) was inflated by one-off other income/prior-period items vs FY25's more normalised ₹12,750cr — see Directors' Report MD&amp;A.</t>
        </is>
      </c>
    </row>
    <row r="13">
      <c r="A13" s="2" t="inlineStr">
        <is>
          <t>Tata Power — Revenue / Total Income (₹ cr)</t>
        </is>
      </c>
      <c r="B13" t="n">
        <v>30743</v>
      </c>
      <c r="C13" t="n">
        <v>30350</v>
      </c>
      <c r="D13" t="n">
        <v>33239</v>
      </c>
      <c r="E13" t="n">
        <v>42576</v>
      </c>
      <c r="F13" t="n">
        <v>56033</v>
      </c>
      <c r="G13" t="n">
        <v>63272.32</v>
      </c>
      <c r="H13" t="n">
        <v>66992.17</v>
      </c>
      <c r="I13" t="n">
        <v>64171.66</v>
      </c>
      <c r="J13" s="12">
        <f>IFERROR(IF(OR(B13="N/A",I13="N/A"),"N/A",(I13/B13)^(1/7)-1),"N/A")</f>
        <v/>
      </c>
    </row>
    <row r="14">
      <c r="A14" s="2" t="inlineStr">
        <is>
          <t>Tata Power — Net Profit / PAT (₹ cr)</t>
        </is>
      </c>
      <c r="B14" s="3" t="inlineStr">
        <is>
          <t>N/A</t>
        </is>
      </c>
      <c r="C14" s="3" t="inlineStr">
        <is>
          <t>N/A</t>
        </is>
      </c>
      <c r="D14" t="n">
        <v>1424</v>
      </c>
      <c r="E14" t="n">
        <v>2298</v>
      </c>
      <c r="F14" t="n">
        <v>3878</v>
      </c>
      <c r="G14" t="n">
        <v>4280</v>
      </c>
      <c r="H14" t="n">
        <v>4775</v>
      </c>
      <c r="I14" t="n">
        <v>5118</v>
      </c>
      <c r="J14" s="12">
        <f>IFERROR(IF(OR(B14="N/A",I14="N/A"),"N/A",(I14/B14)^(1/7)-1),"N/A")</f>
        <v/>
      </c>
    </row>
    <row r="15">
      <c r="A15" s="2" t="inlineStr">
        <is>
          <t>Tata Power — Total Assets (₹ cr)</t>
        </is>
      </c>
      <c r="B15" s="3" t="inlineStr">
        <is>
          <t>N/A</t>
        </is>
      </c>
      <c r="C15" s="3" t="inlineStr">
        <is>
          <t>N/A</t>
        </is>
      </c>
      <c r="D15" s="3" t="inlineStr">
        <is>
          <t>N/A</t>
        </is>
      </c>
      <c r="E15" s="3" t="inlineStr">
        <is>
          <t>N/A</t>
        </is>
      </c>
      <c r="F15" s="3" t="inlineStr">
        <is>
          <t>N/A</t>
        </is>
      </c>
      <c r="G15" t="n">
        <v>139553.49</v>
      </c>
      <c r="H15" t="n">
        <v>156711.29</v>
      </c>
      <c r="I15" t="n">
        <v>175171.78</v>
      </c>
      <c r="J15" s="12">
        <f>IFERROR(IF(OR(B15="N/A",I15="N/A"),"N/A",(I15/B15)^(1/7)-1),"N/A")</f>
        <v/>
      </c>
    </row>
    <row r="16">
      <c r="A16" s="2" t="inlineStr">
        <is>
          <t>Tata Power — Employees (#)</t>
        </is>
      </c>
      <c r="B16" s="3" t="inlineStr">
        <is>
          <t>N/A</t>
        </is>
      </c>
      <c r="C16" s="3" t="inlineStr">
        <is>
          <t>N/A</t>
        </is>
      </c>
      <c r="D16" s="3" t="inlineStr">
        <is>
          <t>N/A</t>
        </is>
      </c>
      <c r="E16" s="3" t="inlineStr">
        <is>
          <t>N/A</t>
        </is>
      </c>
      <c r="F16" s="3" t="inlineStr">
        <is>
          <t>N/A</t>
        </is>
      </c>
      <c r="G16" s="3" t="inlineStr">
        <is>
          <t>N/A</t>
        </is>
      </c>
      <c r="H16" t="n">
        <v>3130</v>
      </c>
      <c r="I16" t="n">
        <v>3295</v>
      </c>
      <c r="J16" s="12">
        <f>IFERROR(IF(OR(B16="N/A",I16="N/A"),"N/A",(I16/B16)^(1/7)-1),"N/A")</f>
        <v/>
      </c>
    </row>
    <row r="17" ht="40" customHeight="1">
      <c r="A17" s="13" t="inlineStr">
        <is>
          <t>FY24-FY26 figures verified from Tata Power's Integrated Annual Reports. PAT FY19/FY20 and Total Assets FY19-23 still unverified. Employee count is STANDALONE (parent company only, ~3,100-3,300) — Tata Power runs most of its business (TPREL, discoms) through subsidiaries with separate, much larger workforces (prior third-party group-wide estimate was ~88-96k); the two bases are not comparable, so both are shown separately rather than merged.</t>
        </is>
      </c>
    </row>
    <row r="19">
      <c r="A19" s="2" t="inlineStr">
        <is>
          <t>Torrent Power — Revenue / Total Income (₹ cr)</t>
        </is>
      </c>
      <c r="B19" s="3" t="inlineStr">
        <is>
          <t>N/A</t>
        </is>
      </c>
      <c r="C19" t="n">
        <v>13820</v>
      </c>
      <c r="D19" t="n">
        <v>12310</v>
      </c>
      <c r="E19" t="n">
        <v>14493</v>
      </c>
      <c r="F19" t="n">
        <v>26075.97</v>
      </c>
      <c r="G19" t="n">
        <v>27527.53</v>
      </c>
      <c r="H19" t="n">
        <v>29652.47</v>
      </c>
      <c r="I19" t="n">
        <v>29288.92</v>
      </c>
      <c r="J19" s="12">
        <f>IFERROR(IF(OR(B19="N/A",I19="N/A"),"N/A",(I19/B19)^(1/7)-1),"N/A")</f>
        <v/>
      </c>
    </row>
    <row r="20">
      <c r="A20" s="2" t="inlineStr">
        <is>
          <t>Torrent Power — Net Profit / PAT (₹ cr)</t>
        </is>
      </c>
      <c r="B20" s="3" t="inlineStr">
        <is>
          <t>N/A</t>
        </is>
      </c>
      <c r="C20" t="n">
        <v>1178.88</v>
      </c>
      <c r="D20" t="n">
        <v>1300</v>
      </c>
      <c r="E20" t="n">
        <v>458.7</v>
      </c>
      <c r="F20" t="n">
        <v>2164.67</v>
      </c>
      <c r="G20" t="n">
        <v>1896</v>
      </c>
      <c r="H20" t="n">
        <v>3058.61</v>
      </c>
      <c r="I20" t="n">
        <v>2469.36</v>
      </c>
      <c r="J20" s="12">
        <f>IFERROR(IF(OR(B20="N/A",I20="N/A"),"N/A",(I20/B20)^(1/7)-1),"N/A")</f>
        <v/>
      </c>
    </row>
    <row r="21">
      <c r="A21" s="2" t="inlineStr">
        <is>
          <t>Torrent Power — Total Assets (₹ cr)</t>
        </is>
      </c>
      <c r="B21" s="3" t="inlineStr">
        <is>
          <t>N/A</t>
        </is>
      </c>
      <c r="C21" s="3" t="inlineStr">
        <is>
          <t>N/A</t>
        </is>
      </c>
      <c r="D21" s="3" t="inlineStr">
        <is>
          <t>N/A</t>
        </is>
      </c>
      <c r="E21" s="3" t="inlineStr">
        <is>
          <t>N/A</t>
        </is>
      </c>
      <c r="F21" t="n">
        <v>29910.18</v>
      </c>
      <c r="G21" t="n">
        <v>33392.48</v>
      </c>
      <c r="H21" t="n">
        <v>36573.38</v>
      </c>
      <c r="I21" t="n">
        <v>45193.28</v>
      </c>
      <c r="J21" s="12">
        <f>IFERROR(IF(OR(B21="N/A",I21="N/A"),"N/A",(I21/B21)^(1/7)-1),"N/A")</f>
        <v/>
      </c>
    </row>
    <row r="22">
      <c r="A22" s="2" t="inlineStr">
        <is>
          <t>Torrent Power — Employees (#)</t>
        </is>
      </c>
      <c r="B22" s="3" t="inlineStr">
        <is>
          <t>N/A</t>
        </is>
      </c>
      <c r="C22" s="3" t="inlineStr">
        <is>
          <t>N/A</t>
        </is>
      </c>
      <c r="D22" s="3" t="inlineStr">
        <is>
          <t>N/A</t>
        </is>
      </c>
      <c r="E22" s="3" t="inlineStr">
        <is>
          <t>N/A</t>
        </is>
      </c>
      <c r="F22" s="3" t="inlineStr">
        <is>
          <t>N/A</t>
        </is>
      </c>
      <c r="G22" t="n">
        <v>6987</v>
      </c>
      <c r="H22" t="n">
        <v>7213</v>
      </c>
      <c r="I22" t="n">
        <v>6687</v>
      </c>
      <c r="J22" s="12">
        <f>IFERROR(IF(OR(B22="N/A",I22="N/A"),"N/A",(I22/B22)^(1/7)-1),"N/A")</f>
        <v/>
      </c>
    </row>
    <row r="23" ht="40" customHeight="1">
      <c r="A23" s="13" t="inlineStr">
        <is>
          <t>FY23-FY26 figures verified from Torrent Power's Integrated Annual Reports (FY23 Total Assets now confirmed at ₹29,910.18cr, resolving a prior gap). FY19 revenue/PAT and Employees FY19-23 still unverified. Employee count is standalone permanent employees on Company rolls. FY24 PAT dipped due to the DGEN plant impairment recognised in the prior year's comparatives; FY26 PAT eased from FY25's high on lower other income/merchant realisation per MD&amp;A.</t>
        </is>
      </c>
    </row>
    <row r="25">
      <c r="A25" s="14" t="inlineStr">
        <is>
          <t>Market price per share (₹, year-end 31-Mar)</t>
        </is>
      </c>
    </row>
    <row r="26">
      <c r="A26" t="inlineStr">
        <is>
          <t>Adani Power — Year-end share price</t>
        </is>
      </c>
      <c r="B26" s="3" t="inlineStr">
        <is>
          <t>TO FILL</t>
        </is>
      </c>
      <c r="C26" s="3" t="inlineStr">
        <is>
          <t>TO FILL</t>
        </is>
      </c>
      <c r="D26" s="3" t="inlineStr">
        <is>
          <t>TO FILL</t>
        </is>
      </c>
      <c r="E26" s="3" t="inlineStr">
        <is>
          <t>TO FILL</t>
        </is>
      </c>
      <c r="F26" s="3" t="inlineStr">
        <is>
          <t>TO FILL</t>
        </is>
      </c>
      <c r="G26" s="3" t="inlineStr">
        <is>
          <t>TO FILL</t>
        </is>
      </c>
      <c r="H26" s="3" t="inlineStr">
        <is>
          <t>TO FILL</t>
        </is>
      </c>
      <c r="I26" s="3" t="inlineStr">
        <is>
          <t>TO FILL</t>
        </is>
      </c>
    </row>
    <row r="27">
      <c r="A27" t="inlineStr">
        <is>
          <t>Tata Power — Year-end share price</t>
        </is>
      </c>
      <c r="B27" s="3" t="inlineStr">
        <is>
          <t>TO FILL</t>
        </is>
      </c>
      <c r="C27" s="3" t="inlineStr">
        <is>
          <t>TO FILL</t>
        </is>
      </c>
      <c r="D27" s="3" t="inlineStr">
        <is>
          <t>TO FILL</t>
        </is>
      </c>
      <c r="E27" s="3" t="inlineStr">
        <is>
          <t>TO FILL</t>
        </is>
      </c>
      <c r="F27" s="3" t="inlineStr">
        <is>
          <t>TO FILL</t>
        </is>
      </c>
      <c r="G27" s="3" t="inlineStr">
        <is>
          <t>TO FILL</t>
        </is>
      </c>
      <c r="H27" s="3" t="inlineStr">
        <is>
          <t>TO FILL</t>
        </is>
      </c>
      <c r="I27" s="3" t="inlineStr">
        <is>
          <t>TO FILL</t>
        </is>
      </c>
    </row>
    <row r="28">
      <c r="A28" t="inlineStr">
        <is>
          <t>Torrent Power — Year-end share price</t>
        </is>
      </c>
      <c r="B28" s="3" t="inlineStr">
        <is>
          <t>TO FILL</t>
        </is>
      </c>
      <c r="C28" s="3" t="inlineStr">
        <is>
          <t>TO FILL</t>
        </is>
      </c>
      <c r="D28" s="3" t="inlineStr">
        <is>
          <t>TO FILL</t>
        </is>
      </c>
      <c r="E28" s="3" t="inlineStr">
        <is>
          <t>TO FILL</t>
        </is>
      </c>
      <c r="F28" s="3" t="inlineStr">
        <is>
          <t>TO FILL</t>
        </is>
      </c>
      <c r="G28" s="3" t="inlineStr">
        <is>
          <t>TO FILL</t>
        </is>
      </c>
      <c r="H28" s="3" t="inlineStr">
        <is>
          <t>TO FILL</t>
        </is>
      </c>
      <c r="I28" s="3" t="inlineStr">
        <is>
          <t>TO FILL</t>
        </is>
      </c>
    </row>
    <row r="30">
      <c r="A30" s="15" t="inlineStr">
        <is>
          <t>Comments</t>
        </is>
      </c>
    </row>
    <row r="31" ht="100" customHeight="1">
      <c r="A31" s="16" t="inlineStr">
        <is>
          <t>Adani Power shows the strongest turnaround: from consolidated net LOSSES in FY19-FY20 to PAT of ~₹12,971 cr in FY26, driven by capacity additions via IBC acquisitions (Mahan, Korba, Moxie, Vidarbha) — note FY24's ₹20,829cr PAT spike was one-off-boosted (see note), with FY25/FY26 (~₹12,750-12,971cr) the more comparable run-rate. Total assets nearly doubled FY24→FY26 (₹92,325cr → ₹142,280cr) on continued capacity build-out. Tata Power shows steadier growth (T&amp;D + renewables mix), with total assets up from ₹1,39,553cr (FY24) to ₹1,75,172cr (FY26) and PAT rising each year (₹4,280cr→₹5,118cr). Torrent Power's FY24 profit dipped versus FY23 (DGEN impairment effects), rebounded strongly in FY25 (₹3,059cr) partly on the DNH&amp;DD distribution volume gains, then eased in FY26; its asset base grew fastest in relative terms (+51% FY23→FY26, ₹29,910cr→₹45,193cr) reflecting the Nabha Power and other capex. Market-price trend lines still need to be filled from NSE/Yahoo Finance (flagged in yellow) to complete the picture.</t>
        </is>
      </c>
    </row>
    <row r="32"/>
    <row r="33"/>
    <row r="34"/>
    <row r="35"/>
  </sheetData>
  <mergeCells count="6">
    <mergeCell ref="A1:J1"/>
    <mergeCell ref="A23:J23"/>
    <mergeCell ref="A31:J35"/>
    <mergeCell ref="A17:J17"/>
    <mergeCell ref="A2:J2"/>
    <mergeCell ref="A11:J1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Adani Power Revenue</t>
        </is>
      </c>
      <c r="C1" t="inlineStr">
        <is>
          <t>Tata Power Revenue</t>
        </is>
      </c>
      <c r="D1" t="inlineStr">
        <is>
          <t>Torrent Power Revenue</t>
        </is>
      </c>
    </row>
    <row r="2">
      <c r="A2" t="inlineStr">
        <is>
          <t>FY19</t>
        </is>
      </c>
      <c r="B2" t="n">
        <v>26362</v>
      </c>
      <c r="C2" t="n">
        <v>30743</v>
      </c>
    </row>
    <row r="3">
      <c r="A3" t="inlineStr">
        <is>
          <t>FY20</t>
        </is>
      </c>
      <c r="B3" t="n">
        <v>27842</v>
      </c>
      <c r="C3" t="n">
        <v>30350</v>
      </c>
      <c r="D3" t="n">
        <v>13820</v>
      </c>
    </row>
    <row r="4">
      <c r="A4" t="inlineStr">
        <is>
          <t>FY21</t>
        </is>
      </c>
      <c r="B4" t="n">
        <v>28150</v>
      </c>
      <c r="C4" t="n">
        <v>33239</v>
      </c>
      <c r="D4" t="n">
        <v>12310</v>
      </c>
    </row>
    <row r="5">
      <c r="A5" t="inlineStr">
        <is>
          <t>FY22</t>
        </is>
      </c>
      <c r="B5" t="n">
        <v>31687</v>
      </c>
      <c r="C5" t="n">
        <v>42576</v>
      </c>
      <c r="D5" t="n">
        <v>14493</v>
      </c>
    </row>
    <row r="6">
      <c r="A6" t="inlineStr">
        <is>
          <t>FY23</t>
        </is>
      </c>
      <c r="B6" t="n">
        <v>43041</v>
      </c>
      <c r="C6" t="n">
        <v>56033</v>
      </c>
      <c r="D6" t="n">
        <v>26075.97</v>
      </c>
    </row>
    <row r="7">
      <c r="A7" t="inlineStr">
        <is>
          <t>FY24</t>
        </is>
      </c>
      <c r="B7" t="n">
        <v>60281.48</v>
      </c>
      <c r="C7" t="n">
        <v>63272.32</v>
      </c>
      <c r="D7" t="n">
        <v>27527.53</v>
      </c>
    </row>
    <row r="8">
      <c r="A8" t="inlineStr">
        <is>
          <t>FY25</t>
        </is>
      </c>
      <c r="B8" t="n">
        <v>58905.83</v>
      </c>
      <c r="C8" t="n">
        <v>66992.17</v>
      </c>
      <c r="D8" t="n">
        <v>29652.47</v>
      </c>
    </row>
    <row r="9">
      <c r="A9" t="inlineStr">
        <is>
          <t>FY26</t>
        </is>
      </c>
      <c r="B9" t="n">
        <v>57865.28</v>
      </c>
      <c r="C9" t="n">
        <v>64171.66</v>
      </c>
      <c r="D9" t="n">
        <v>29288.92</v>
      </c>
    </row>
    <row r="11">
      <c r="A11" t="inlineStr">
        <is>
          <t>Year</t>
        </is>
      </c>
      <c r="B11" t="inlineStr">
        <is>
          <t>Adani Power PAT</t>
        </is>
      </c>
      <c r="C11" t="inlineStr">
        <is>
          <t>Tata Power PAT</t>
        </is>
      </c>
      <c r="D11" t="inlineStr">
        <is>
          <t>Torrent Power PAT</t>
        </is>
      </c>
    </row>
    <row r="12">
      <c r="A12" t="inlineStr">
        <is>
          <t>FY19</t>
        </is>
      </c>
      <c r="B12" t="n">
        <v>-984.4</v>
      </c>
    </row>
    <row r="13">
      <c r="A13" t="inlineStr">
        <is>
          <t>FY20</t>
        </is>
      </c>
      <c r="B13" t="n">
        <v>-2274.8</v>
      </c>
      <c r="D13" t="n">
        <v>1178.88</v>
      </c>
    </row>
    <row r="14">
      <c r="A14" t="inlineStr">
        <is>
          <t>FY21</t>
        </is>
      </c>
      <c r="B14" t="n">
        <v>1270</v>
      </c>
      <c r="C14" t="n">
        <v>1424</v>
      </c>
      <c r="D14" t="n">
        <v>1300</v>
      </c>
    </row>
    <row r="15">
      <c r="A15" t="inlineStr">
        <is>
          <t>FY22</t>
        </is>
      </c>
      <c r="B15" t="n">
        <v>4911.6</v>
      </c>
      <c r="C15" t="n">
        <v>2298</v>
      </c>
      <c r="D15" t="n">
        <v>458.7</v>
      </c>
    </row>
    <row r="16">
      <c r="A16" t="inlineStr">
        <is>
          <t>FY23</t>
        </is>
      </c>
      <c r="B16" t="n">
        <v>10727</v>
      </c>
      <c r="C16" t="n">
        <v>3878</v>
      </c>
      <c r="D16" t="n">
        <v>2164.67</v>
      </c>
    </row>
    <row r="17">
      <c r="A17" t="inlineStr">
        <is>
          <t>FY24</t>
        </is>
      </c>
      <c r="B17" t="n">
        <v>20828.79</v>
      </c>
      <c r="C17" t="n">
        <v>4280</v>
      </c>
      <c r="D17" t="n">
        <v>1896</v>
      </c>
    </row>
    <row r="18">
      <c r="A18" t="inlineStr">
        <is>
          <t>FY25</t>
        </is>
      </c>
      <c r="B18" t="n">
        <v>12749.61</v>
      </c>
      <c r="C18" t="n">
        <v>4775</v>
      </c>
      <c r="D18" t="n">
        <v>3058.61</v>
      </c>
    </row>
    <row r="19">
      <c r="A19" t="inlineStr">
        <is>
          <t>FY26</t>
        </is>
      </c>
      <c r="B19" t="n">
        <v>12971.08</v>
      </c>
      <c r="C19" t="n">
        <v>5118</v>
      </c>
      <c r="D19" t="n">
        <v>2469.36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4" customHeight="1">
      <c r="A1" s="7" t="inlineStr">
        <is>
          <t>3. Sales per Rupee of Asset Deployed &amp; Sales per Employee</t>
        </is>
      </c>
    </row>
    <row r="2">
      <c r="A2" s="8" t="inlineStr">
        <is>
          <t>Sales per ₹ of asset = Revenue / Total Assets (x). Sales per employee = Revenue (₹ cr) / Employees, shown in ₹ lakh/employee.</t>
        </is>
      </c>
    </row>
    <row r="3" ht="6" customHeight="1"/>
    <row r="5">
      <c r="A5" s="9" t="inlineStr">
        <is>
          <t>Company / Metric</t>
        </is>
      </c>
      <c r="B5" s="9" t="inlineStr">
        <is>
          <t>FY19</t>
        </is>
      </c>
      <c r="C5" s="9" t="inlineStr">
        <is>
          <t>FY20</t>
        </is>
      </c>
      <c r="D5" s="9" t="inlineStr">
        <is>
          <t>FY21</t>
        </is>
      </c>
      <c r="E5" s="9" t="inlineStr">
        <is>
          <t>FY22</t>
        </is>
      </c>
      <c r="F5" s="9" t="inlineStr">
        <is>
          <t>FY23</t>
        </is>
      </c>
      <c r="G5" s="9" t="inlineStr">
        <is>
          <t>FY24</t>
        </is>
      </c>
      <c r="H5" s="9" t="inlineStr">
        <is>
          <t>FY25</t>
        </is>
      </c>
      <c r="I5" s="9" t="inlineStr">
        <is>
          <t>FY26</t>
        </is>
      </c>
    </row>
    <row r="7">
      <c r="A7" s="2" t="inlineStr">
        <is>
          <t>Adani Power — Sales / Total Assets (x)</t>
        </is>
      </c>
      <c r="B7" s="17">
        <f>IFERROR(IF(OR(ISTEXT('2_Growth_Comparison'!B7),ISTEXT('2_Growth_Comparison'!B9)),"N/A",'2_Growth_Comparison'!B7/'2_Growth_Comparison'!B9),"N/A")</f>
        <v/>
      </c>
      <c r="C7" s="17">
        <f>IFERROR(IF(OR(ISTEXT('2_Growth_Comparison'!C7),ISTEXT('2_Growth_Comparison'!C9)),"N/A",'2_Growth_Comparison'!C7/'2_Growth_Comparison'!C9),"N/A")</f>
        <v/>
      </c>
      <c r="D7" s="17">
        <f>IFERROR(IF(OR(ISTEXT('2_Growth_Comparison'!D7),ISTEXT('2_Growth_Comparison'!D9)),"N/A",'2_Growth_Comparison'!D7/'2_Growth_Comparison'!D9),"N/A")</f>
        <v/>
      </c>
      <c r="E7" s="17">
        <f>IFERROR(IF(OR(ISTEXT('2_Growth_Comparison'!E7),ISTEXT('2_Growth_Comparison'!E9)),"N/A",'2_Growth_Comparison'!E7/'2_Growth_Comparison'!E9),"N/A")</f>
        <v/>
      </c>
      <c r="F7" s="17">
        <f>IFERROR(IF(OR(ISTEXT('2_Growth_Comparison'!F7),ISTEXT('2_Growth_Comparison'!F9)),"N/A",'2_Growth_Comparison'!F7/'2_Growth_Comparison'!F9),"N/A")</f>
        <v/>
      </c>
      <c r="G7" s="17">
        <f>IFERROR(IF(OR(ISTEXT('2_Growth_Comparison'!G7),ISTEXT('2_Growth_Comparison'!G9)),"N/A",'2_Growth_Comparison'!G7/'2_Growth_Comparison'!G9),"N/A")</f>
        <v/>
      </c>
      <c r="H7" s="17">
        <f>IFERROR(IF(OR(ISTEXT('2_Growth_Comparison'!H7),ISTEXT('2_Growth_Comparison'!H9)),"N/A",'2_Growth_Comparison'!H7/'2_Growth_Comparison'!H9),"N/A")</f>
        <v/>
      </c>
      <c r="I7" s="17">
        <f>IFERROR(IF(OR(ISTEXT('2_Growth_Comparison'!I7),ISTEXT('2_Growth_Comparison'!I9)),"N/A",'2_Growth_Comparison'!I7/'2_Growth_Comparison'!I9),"N/A")</f>
        <v/>
      </c>
    </row>
    <row r="8">
      <c r="A8" s="2" t="inlineStr">
        <is>
          <t>Adani Power — Sales / Employee (₹ lakh)</t>
        </is>
      </c>
      <c r="B8" s="17">
        <f>IFERROR(IF(OR(ISTEXT('2_Growth_Comparison'!B7),ISTEXT('2_Growth_Comparison'!B10)),"N/A",'2_Growth_Comparison'!B7*100/'2_Growth_Comparison'!B10),"N/A")</f>
        <v/>
      </c>
      <c r="C8" s="17">
        <f>IFERROR(IF(OR(ISTEXT('2_Growth_Comparison'!C7),ISTEXT('2_Growth_Comparison'!C10)),"N/A",'2_Growth_Comparison'!C7*100/'2_Growth_Comparison'!C10),"N/A")</f>
        <v/>
      </c>
      <c r="D8" s="17">
        <f>IFERROR(IF(OR(ISTEXT('2_Growth_Comparison'!D7),ISTEXT('2_Growth_Comparison'!D10)),"N/A",'2_Growth_Comparison'!D7*100/'2_Growth_Comparison'!D10),"N/A")</f>
        <v/>
      </c>
      <c r="E8" s="17">
        <f>IFERROR(IF(OR(ISTEXT('2_Growth_Comparison'!E7),ISTEXT('2_Growth_Comparison'!E10)),"N/A",'2_Growth_Comparison'!E7*100/'2_Growth_Comparison'!E10),"N/A")</f>
        <v/>
      </c>
      <c r="F8" s="17">
        <f>IFERROR(IF(OR(ISTEXT('2_Growth_Comparison'!F7),ISTEXT('2_Growth_Comparison'!F10)),"N/A",'2_Growth_Comparison'!F7*100/'2_Growth_Comparison'!F10),"N/A")</f>
        <v/>
      </c>
      <c r="G8" s="17">
        <f>IFERROR(IF(OR(ISTEXT('2_Growth_Comparison'!G7),ISTEXT('2_Growth_Comparison'!G10)),"N/A",'2_Growth_Comparison'!G7*100/'2_Growth_Comparison'!G10),"N/A")</f>
        <v/>
      </c>
      <c r="H8" s="17">
        <f>IFERROR(IF(OR(ISTEXT('2_Growth_Comparison'!H7),ISTEXT('2_Growth_Comparison'!H10)),"N/A",'2_Growth_Comparison'!H7*100/'2_Growth_Comparison'!H10),"N/A")</f>
        <v/>
      </c>
      <c r="I8" s="17">
        <f>IFERROR(IF(OR(ISTEXT('2_Growth_Comparison'!I7),ISTEXT('2_Growth_Comparison'!I10)),"N/A",'2_Growth_Comparison'!I7*100/'2_Growth_Comparison'!I10),"N/A")</f>
        <v/>
      </c>
    </row>
    <row r="10">
      <c r="A10" s="2" t="inlineStr">
        <is>
          <t>Tata Power — Sales / Total Assets (x)</t>
        </is>
      </c>
      <c r="B10" s="17">
        <f>IFERROR(IF(OR(ISTEXT('2_Growth_Comparison'!B13),ISTEXT('2_Growth_Comparison'!B15)),"N/A",'2_Growth_Comparison'!B13/'2_Growth_Comparison'!B15),"N/A")</f>
        <v/>
      </c>
      <c r="C10" s="17">
        <f>IFERROR(IF(OR(ISTEXT('2_Growth_Comparison'!C13),ISTEXT('2_Growth_Comparison'!C15)),"N/A",'2_Growth_Comparison'!C13/'2_Growth_Comparison'!C15),"N/A")</f>
        <v/>
      </c>
      <c r="D10" s="17">
        <f>IFERROR(IF(OR(ISTEXT('2_Growth_Comparison'!D13),ISTEXT('2_Growth_Comparison'!D15)),"N/A",'2_Growth_Comparison'!D13/'2_Growth_Comparison'!D15),"N/A")</f>
        <v/>
      </c>
      <c r="E10" s="17">
        <f>IFERROR(IF(OR(ISTEXT('2_Growth_Comparison'!E13),ISTEXT('2_Growth_Comparison'!E15)),"N/A",'2_Growth_Comparison'!E13/'2_Growth_Comparison'!E15),"N/A")</f>
        <v/>
      </c>
      <c r="F10" s="17">
        <f>IFERROR(IF(OR(ISTEXT('2_Growth_Comparison'!F13),ISTEXT('2_Growth_Comparison'!F15)),"N/A",'2_Growth_Comparison'!F13/'2_Growth_Comparison'!F15),"N/A")</f>
        <v/>
      </c>
      <c r="G10" s="17">
        <f>IFERROR(IF(OR(ISTEXT('2_Growth_Comparison'!G13),ISTEXT('2_Growth_Comparison'!G15)),"N/A",'2_Growth_Comparison'!G13/'2_Growth_Comparison'!G15),"N/A")</f>
        <v/>
      </c>
      <c r="H10" s="17">
        <f>IFERROR(IF(OR(ISTEXT('2_Growth_Comparison'!H13),ISTEXT('2_Growth_Comparison'!H15)),"N/A",'2_Growth_Comparison'!H13/'2_Growth_Comparison'!H15),"N/A")</f>
        <v/>
      </c>
      <c r="I10" s="17">
        <f>IFERROR(IF(OR(ISTEXT('2_Growth_Comparison'!I13),ISTEXT('2_Growth_Comparison'!I15)),"N/A",'2_Growth_Comparison'!I13/'2_Growth_Comparison'!I15),"N/A")</f>
        <v/>
      </c>
    </row>
    <row r="11">
      <c r="A11" s="2" t="inlineStr">
        <is>
          <t>Tata Power — Sales / Employee (₹ lakh)</t>
        </is>
      </c>
      <c r="B11" s="17">
        <f>IFERROR(IF(OR(ISTEXT('2_Growth_Comparison'!B13),ISTEXT('2_Growth_Comparison'!B16)),"N/A",'2_Growth_Comparison'!B13*100/'2_Growth_Comparison'!B16),"N/A")</f>
        <v/>
      </c>
      <c r="C11" s="17">
        <f>IFERROR(IF(OR(ISTEXT('2_Growth_Comparison'!C13),ISTEXT('2_Growth_Comparison'!C16)),"N/A",'2_Growth_Comparison'!C13*100/'2_Growth_Comparison'!C16),"N/A")</f>
        <v/>
      </c>
      <c r="D11" s="17">
        <f>IFERROR(IF(OR(ISTEXT('2_Growth_Comparison'!D13),ISTEXT('2_Growth_Comparison'!D16)),"N/A",'2_Growth_Comparison'!D13*100/'2_Growth_Comparison'!D16),"N/A")</f>
        <v/>
      </c>
      <c r="E11" s="17">
        <f>IFERROR(IF(OR(ISTEXT('2_Growth_Comparison'!E13),ISTEXT('2_Growth_Comparison'!E16)),"N/A",'2_Growth_Comparison'!E13*100/'2_Growth_Comparison'!E16),"N/A")</f>
        <v/>
      </c>
      <c r="F11" s="17">
        <f>IFERROR(IF(OR(ISTEXT('2_Growth_Comparison'!F13),ISTEXT('2_Growth_Comparison'!F16)),"N/A",'2_Growth_Comparison'!F13*100/'2_Growth_Comparison'!F16),"N/A")</f>
        <v/>
      </c>
      <c r="G11" s="17">
        <f>IFERROR(IF(OR(ISTEXT('2_Growth_Comparison'!G13),ISTEXT('2_Growth_Comparison'!G16)),"N/A",'2_Growth_Comparison'!G13*100/'2_Growth_Comparison'!G16),"N/A")</f>
        <v/>
      </c>
      <c r="H11" s="17">
        <f>IFERROR(IF(OR(ISTEXT('2_Growth_Comparison'!H13),ISTEXT('2_Growth_Comparison'!H16)),"N/A",'2_Growth_Comparison'!H13*100/'2_Growth_Comparison'!H16),"N/A")</f>
        <v/>
      </c>
      <c r="I11" s="17">
        <f>IFERROR(IF(OR(ISTEXT('2_Growth_Comparison'!I13),ISTEXT('2_Growth_Comparison'!I16)),"N/A",'2_Growth_Comparison'!I13*100/'2_Growth_Comparison'!I16),"N/A")</f>
        <v/>
      </c>
    </row>
    <row r="13">
      <c r="A13" s="2" t="inlineStr">
        <is>
          <t>Torrent Power — Sales / Total Assets (x)</t>
        </is>
      </c>
      <c r="B13" s="17">
        <f>IFERROR(IF(OR(ISTEXT('2_Growth_Comparison'!B19),ISTEXT('2_Growth_Comparison'!B21)),"N/A",'2_Growth_Comparison'!B19/'2_Growth_Comparison'!B21),"N/A")</f>
        <v/>
      </c>
      <c r="C13" s="17">
        <f>IFERROR(IF(OR(ISTEXT('2_Growth_Comparison'!C19),ISTEXT('2_Growth_Comparison'!C21)),"N/A",'2_Growth_Comparison'!C19/'2_Growth_Comparison'!C21),"N/A")</f>
        <v/>
      </c>
      <c r="D13" s="17">
        <f>IFERROR(IF(OR(ISTEXT('2_Growth_Comparison'!D19),ISTEXT('2_Growth_Comparison'!D21)),"N/A",'2_Growth_Comparison'!D19/'2_Growth_Comparison'!D21),"N/A")</f>
        <v/>
      </c>
      <c r="E13" s="17">
        <f>IFERROR(IF(OR(ISTEXT('2_Growth_Comparison'!E19),ISTEXT('2_Growth_Comparison'!E21)),"N/A",'2_Growth_Comparison'!E19/'2_Growth_Comparison'!E21),"N/A")</f>
        <v/>
      </c>
      <c r="F13" s="17">
        <f>IFERROR(IF(OR(ISTEXT('2_Growth_Comparison'!F19),ISTEXT('2_Growth_Comparison'!F21)),"N/A",'2_Growth_Comparison'!F19/'2_Growth_Comparison'!F21),"N/A")</f>
        <v/>
      </c>
      <c r="G13" s="17">
        <f>IFERROR(IF(OR(ISTEXT('2_Growth_Comparison'!G19),ISTEXT('2_Growth_Comparison'!G21)),"N/A",'2_Growth_Comparison'!G19/'2_Growth_Comparison'!G21),"N/A")</f>
        <v/>
      </c>
      <c r="H13" s="17">
        <f>IFERROR(IF(OR(ISTEXT('2_Growth_Comparison'!H19),ISTEXT('2_Growth_Comparison'!H21)),"N/A",'2_Growth_Comparison'!H19/'2_Growth_Comparison'!H21),"N/A")</f>
        <v/>
      </c>
      <c r="I13" s="17">
        <f>IFERROR(IF(OR(ISTEXT('2_Growth_Comparison'!I19),ISTEXT('2_Growth_Comparison'!I21)),"N/A",'2_Growth_Comparison'!I19/'2_Growth_Comparison'!I21),"N/A")</f>
        <v/>
      </c>
    </row>
    <row r="14">
      <c r="A14" s="2" t="inlineStr">
        <is>
          <t>Torrent Power — Sales / Employee (₹ lakh)</t>
        </is>
      </c>
      <c r="B14" s="17">
        <f>IFERROR(IF(OR(ISTEXT('2_Growth_Comparison'!B19),ISTEXT('2_Growth_Comparison'!B22)),"N/A",'2_Growth_Comparison'!B19*100/'2_Growth_Comparison'!B22),"N/A")</f>
        <v/>
      </c>
      <c r="C14" s="17">
        <f>IFERROR(IF(OR(ISTEXT('2_Growth_Comparison'!C19),ISTEXT('2_Growth_Comparison'!C22)),"N/A",'2_Growth_Comparison'!C19*100/'2_Growth_Comparison'!C22),"N/A")</f>
        <v/>
      </c>
      <c r="D14" s="17">
        <f>IFERROR(IF(OR(ISTEXT('2_Growth_Comparison'!D19),ISTEXT('2_Growth_Comparison'!D22)),"N/A",'2_Growth_Comparison'!D19*100/'2_Growth_Comparison'!D22),"N/A")</f>
        <v/>
      </c>
      <c r="E14" s="17">
        <f>IFERROR(IF(OR(ISTEXT('2_Growth_Comparison'!E19),ISTEXT('2_Growth_Comparison'!E22)),"N/A",'2_Growth_Comparison'!E19*100/'2_Growth_Comparison'!E22),"N/A")</f>
        <v/>
      </c>
      <c r="F14" s="17">
        <f>IFERROR(IF(OR(ISTEXT('2_Growth_Comparison'!F19),ISTEXT('2_Growth_Comparison'!F22)),"N/A",'2_Growth_Comparison'!F19*100/'2_Growth_Comparison'!F22),"N/A")</f>
        <v/>
      </c>
      <c r="G14" s="17">
        <f>IFERROR(IF(OR(ISTEXT('2_Growth_Comparison'!G19),ISTEXT('2_Growth_Comparison'!G22)),"N/A",'2_Growth_Comparison'!G19*100/'2_Growth_Comparison'!G22),"N/A")</f>
        <v/>
      </c>
      <c r="H14" s="17">
        <f>IFERROR(IF(OR(ISTEXT('2_Growth_Comparison'!H19),ISTEXT('2_Growth_Comparison'!H22)),"N/A",'2_Growth_Comparison'!H19*100/'2_Growth_Comparison'!H22),"N/A")</f>
        <v/>
      </c>
      <c r="I14" s="17">
        <f>IFERROR(IF(OR(ISTEXT('2_Growth_Comparison'!I19),ISTEXT('2_Growth_Comparison'!I22)),"N/A",'2_Growth_Comparison'!I19*100/'2_Growth_Comparison'!I22),"N/A")</f>
        <v/>
      </c>
    </row>
    <row r="16">
      <c r="A16" s="15" t="inlineStr">
        <is>
          <t>Comments</t>
        </is>
      </c>
    </row>
    <row r="17" ht="130" customHeight="1">
      <c r="A17" s="16" t="inlineStr">
        <is>
          <t>FY24-FY26 ratios now compute from verified Annual Report data (Sheet 2). Sales/Total-Assets: Adani Power ~0.65x (FY24) declining to ~0.41x (FY26) as its asset base grew faster than revenue (heavy capex/acquisitions still ramping up utilisation); Tata Power steadier at ~0.45x-0.37x; Torrent Power highest of the three at ~0.82x-0.65x, reflecting a leaner, more revenue-dense (largely regulated distribution-driven) asset base. Sales/Employee is NOT directly comparable across companies here: all three employee counts are STANDALONE (parent company only) figures from the Annual Reports, so a holding-company-style parent with heavy operations inside subsidiaries (e.g., Tata Power, whose TPREL/discoms sit in separate entities) will show an inflated, misleading ratio versus a consolidated peer. A true comparison needs group-wide headcount (consolidated, incl. subsidiaries) for all three, which is not disclosed in one place in any of the Annual Reports reviewed — flag this limitation if quoting Sales/Employee externally. FY19-FY23 cells remain 'N/A' pending the pre-FY24 Total-Assets and Employee series (see Sheet 2 notes).</t>
        </is>
      </c>
    </row>
    <row r="18"/>
    <row r="19"/>
    <row r="20"/>
    <row r="21"/>
    <row r="22"/>
    <row r="23"/>
    <row r="24"/>
  </sheetData>
  <mergeCells count="3">
    <mergeCell ref="A1:I1"/>
    <mergeCell ref="A2:I2"/>
    <mergeCell ref="A17:I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0" customWidth="1" min="3" max="3"/>
    <col width="18" customWidth="1" min="4" max="4"/>
    <col width="16" customWidth="1" min="5" max="5"/>
    <col width="18" customWidth="1" min="6" max="6"/>
    <col width="45" customWidth="1" min="7" max="7"/>
  </cols>
  <sheetData>
    <row r="1" ht="24" customHeight="1">
      <c r="A1" s="7" t="inlineStr">
        <is>
          <t>4. Business Acquisitions (last ~5 years) &amp; Impact</t>
        </is>
      </c>
    </row>
    <row r="2">
      <c r="A2" s="8" t="inlineStr">
        <is>
          <t>Deal size, status, and available data on post-acquisition impact on sales/profit/cash from operations.</t>
        </is>
      </c>
    </row>
    <row r="3" ht="6" customHeight="1"/>
    <row r="5">
      <c r="A5" s="9" t="inlineStr">
        <is>
          <t>Company</t>
        </is>
      </c>
      <c r="B5" s="9" t="inlineStr">
        <is>
          <t>Date</t>
        </is>
      </c>
      <c r="C5" s="9" t="inlineStr">
        <is>
          <t>Target / Deal</t>
        </is>
      </c>
      <c r="D5" s="9" t="inlineStr">
        <is>
          <t>Deal Size (₹ cr)</t>
        </is>
      </c>
      <c r="E5" s="9" t="inlineStr">
        <is>
          <t>Status</t>
        </is>
      </c>
      <c r="F5" s="9" t="inlineStr">
        <is>
          <t>Route</t>
        </is>
      </c>
      <c r="G5" s="9" t="inlineStr">
        <is>
          <t>Impact on Sales/Profit/CFO post-acquisition</t>
        </is>
      </c>
    </row>
    <row r="6" ht="45" customHeight="1">
      <c r="A6" s="11" t="inlineStr">
        <is>
          <t>Adani Power</t>
        </is>
      </c>
      <c r="B6" s="11" t="inlineStr">
        <is>
          <t>Mar 2022</t>
        </is>
      </c>
      <c r="C6" s="11" t="inlineStr">
        <is>
          <t>Essar Power MP → Mahan Energen Ltd (1,200 MW, MP)</t>
        </is>
      </c>
      <c r="D6" s="11" t="inlineStr">
        <is>
          <t>&gt;4,250</t>
        </is>
      </c>
      <c r="E6" s="11" t="inlineStr">
        <is>
          <t>Completed</t>
        </is>
      </c>
      <c r="F6" s="11" t="inlineStr">
        <is>
          <t>IBC/CIRP</t>
        </is>
      </c>
      <c r="G6" s="11" t="inlineStr">
        <is>
          <t>Lifted total operating capacity; management cites new-acquisition depreciation as a near-term drag on PBT, but capacity/EBITDA growth outweighs it. No standalone P&amp;L attribution disclosed publicly.</t>
        </is>
      </c>
    </row>
    <row r="7" ht="45" customHeight="1">
      <c r="A7" s="11" t="inlineStr">
        <is>
          <t>Adani Power</t>
        </is>
      </c>
      <c r="B7" s="11" t="inlineStr">
        <is>
          <t>Feb 2023</t>
        </is>
      </c>
      <c r="C7" s="11" t="inlineStr">
        <is>
          <t>DB Power (1,200 MW, Chhattisgarh)</t>
        </is>
      </c>
      <c r="D7" s="11" t="inlineStr">
        <is>
          <t>7,017 (deal signed)</t>
        </is>
      </c>
      <c r="E7" s="11" t="inlineStr">
        <is>
          <t>LAPSED — long-stop date expired unconsummated</t>
        </is>
      </c>
      <c r="F7" s="11" t="inlineStr">
        <is>
          <t>Negotiated M&amp;A</t>
        </is>
      </c>
      <c r="G7" s="11" t="inlineStr">
        <is>
          <t>None — deal did not close.</t>
        </is>
      </c>
    </row>
    <row r="8" ht="45" customHeight="1">
      <c r="A8" s="11" t="inlineStr">
        <is>
          <t>Adani Power</t>
        </is>
      </c>
      <c r="B8" s="11" t="inlineStr">
        <is>
          <t>Aug 2024</t>
        </is>
      </c>
      <c r="C8" s="11" t="inlineStr">
        <is>
          <t>Lanco Amarkantak → Korba Power Ltd (600 MW, Chhattisgarh)</t>
        </is>
      </c>
      <c r="D8" s="11" t="inlineStr">
        <is>
          <t>4,101</t>
        </is>
      </c>
      <c r="E8" s="11" t="inlineStr">
        <is>
          <t>NCLT-approved, completed</t>
        </is>
      </c>
      <c r="F8" s="11" t="inlineStr">
        <is>
          <t>IBC/CIRP</t>
        </is>
      </c>
      <c r="G8" s="11" t="inlineStr">
        <is>
          <t>Contributed to capacity growth to 17,550 MW (Q1 FY26); no standalone P&amp;L split disclosed.</t>
        </is>
      </c>
    </row>
    <row r="9" ht="45" customHeight="1">
      <c r="A9" s="11" t="inlineStr">
        <is>
          <t>Adani Power</t>
        </is>
      </c>
      <c r="B9" s="11" t="inlineStr">
        <is>
          <t>Aug 2024</t>
        </is>
      </c>
      <c r="C9" s="11" t="inlineStr">
        <is>
          <t>Coastal Energen → Moxie Power Generation Ltd (1,200 MW, Tamil Nadu) — 49% JV with DAIT</t>
        </is>
      </c>
      <c r="D9" s="11" t="inlineStr">
        <is>
          <t>~3,335 (to creditors)</t>
        </is>
      </c>
      <c r="E9" s="11" t="inlineStr">
        <is>
          <t>NCLT-approved, completed</t>
        </is>
      </c>
      <c r="F9" s="11" t="inlineStr">
        <is>
          <t>IBC/CIRP (JV, Adani 49%)</t>
        </is>
      </c>
      <c r="G9" s="11" t="inlineStr">
        <is>
          <t>Adds south-India footprint; equity-accounted as JV, so full revenue not consolidated line-by-line.</t>
        </is>
      </c>
    </row>
    <row r="10" ht="45" customHeight="1">
      <c r="A10" s="11" t="inlineStr">
        <is>
          <t>Adani Power</t>
        </is>
      </c>
      <c r="B10" s="11" t="inlineStr">
        <is>
          <t>Jul 2025</t>
        </is>
      </c>
      <c r="C10" s="11" t="inlineStr">
        <is>
          <t>Vidarbha Industries Power Ltd (600 MW, Nagpur)</t>
        </is>
      </c>
      <c r="D10" s="11" t="inlineStr">
        <is>
          <t>Not disclosed</t>
        </is>
      </c>
      <c r="E10" s="11" t="inlineStr">
        <is>
          <t>Completed</t>
        </is>
      </c>
      <c r="F10" s="11" t="inlineStr">
        <is>
          <t>IBC/CIRP</t>
        </is>
      </c>
      <c r="G10" s="11" t="inlineStr">
        <is>
          <t>Took total operating capacity to 18,150 MW.</t>
        </is>
      </c>
    </row>
    <row r="11" ht="45" customHeight="1">
      <c r="A11" s="11" t="inlineStr">
        <is>
          <t>Adani Power</t>
        </is>
      </c>
      <c r="B11" s="11" t="inlineStr">
        <is>
          <t>~Mar 2026</t>
        </is>
      </c>
      <c r="C11" s="11" t="inlineStr">
        <is>
          <t>Jaiprakash Power Ventures Ltd — 24% stake via resolution plan (thermal + hydro assets)</t>
        </is>
      </c>
      <c r="D11" s="11" t="inlineStr">
        <is>
          <t>~14,535</t>
        </is>
      </c>
      <c r="E11" s="11" t="inlineStr">
        <is>
          <t>NCLT approved</t>
        </is>
      </c>
      <c r="F11" s="11" t="inlineStr">
        <is>
          <t>IBC/CIRP (implementing entity)</t>
        </is>
      </c>
      <c r="G11" s="11" t="inlineStr">
        <is>
          <t>Too recent for post-acquisition P&amp;L data; JP Power stock jumped ~29% in 2 days on the news.</t>
        </is>
      </c>
    </row>
    <row r="12" ht="45" customHeight="1">
      <c r="A12" s="11" t="inlineStr">
        <is>
          <t>Adani Power</t>
        </is>
      </c>
      <c r="B12" s="11" t="inlineStr">
        <is>
          <t>Dec 2025 (bid)</t>
        </is>
      </c>
      <c r="C12" s="11" t="inlineStr">
        <is>
          <t>GVK Energy — Alaknanda hydro (330 MW, Uttarakhand)</t>
        </is>
      </c>
      <c r="D12" s="11" t="inlineStr">
        <is>
          <t>~3,000-4,000 (bid range)</t>
        </is>
      </c>
      <c r="E12" s="11" t="inlineStr">
        <is>
          <t>Frontrunner reported; completion unconfirmed</t>
        </is>
      </c>
      <c r="F12" s="11" t="inlineStr">
        <is>
          <t>IBC/CIRP (bidding)</t>
        </is>
      </c>
      <c r="G12" s="11" t="inlineStr">
        <is>
          <t>Not yet completed as of research date — verify current status.</t>
        </is>
      </c>
    </row>
    <row r="13" ht="45" customHeight="1">
      <c r="A13" s="11" t="inlineStr">
        <is>
          <t>Adani Power</t>
        </is>
      </c>
      <c r="B13" s="11" t="inlineStr">
        <is>
          <t>2024 (bid)</t>
        </is>
      </c>
      <c r="C13" s="11" t="inlineStr">
        <is>
          <t>KSK Mahanadi Power (1,800 MW, Chhattisgarh)</t>
        </is>
      </c>
      <c r="D13" s="11" t="inlineStr">
        <is>
          <t>~27,000 (bid)</t>
        </is>
      </c>
      <c r="E13" s="11" t="inlineStr">
        <is>
          <t>Completion status unconfirmed</t>
        </is>
      </c>
      <c r="F13" s="11" t="inlineStr">
        <is>
          <t>IBC/CIRP (bidding)</t>
        </is>
      </c>
      <c r="G13" s="11" t="inlineStr">
        <is>
          <t>Verify current status directly.</t>
        </is>
      </c>
    </row>
    <row r="14" ht="45" customHeight="1">
      <c r="A14" s="11" t="inlineStr">
        <is>
          <t>Tata Power</t>
        </is>
      </c>
      <c r="B14" s="11" t="inlineStr">
        <is>
          <t>Mar 2021</t>
        </is>
      </c>
      <c r="C14" s="11" t="inlineStr">
        <is>
          <t>NESCO → TP Northern Odisha Distribution Ltd (TPNODL) — 51%</t>
        </is>
      </c>
      <c r="D14" s="11" t="inlineStr">
        <is>
          <t>191</t>
        </is>
      </c>
      <c r="E14" s="11" t="inlineStr">
        <is>
          <t>Completed</t>
        </is>
      </c>
      <c r="F14" s="11" t="inlineStr">
        <is>
          <t>PPP discom privatization</t>
        </is>
      </c>
      <c r="G14" s="11" t="inlineStr">
        <is>
          <t>Part of a wave of 4 Odisha discom acquisitions (2020-21) that materially grew the T&amp;D segment's customer base (12.6mn customers) and revenue.</t>
        </is>
      </c>
    </row>
    <row r="15" ht="45" customHeight="1">
      <c r="A15" s="11" t="inlineStr">
        <is>
          <t>Tata Power</t>
        </is>
      </c>
      <c r="B15" s="11" t="inlineStr">
        <is>
          <t>2020-21</t>
        </is>
      </c>
      <c r="C15" s="11" t="inlineStr">
        <is>
          <t>TP Central/Western/Southern Odisha Distribution Ltds (TPCODL/TPWODL/TPSODL) — 51% each</t>
        </is>
      </c>
      <c r="D15" s="11" t="inlineStr">
        <is>
          <t>Not found</t>
        </is>
      </c>
      <c r="E15" s="11" t="inlineStr">
        <is>
          <t>Completed</t>
        </is>
      </c>
      <c r="F15" s="11" t="inlineStr">
        <is>
          <t>PPP discom privatization</t>
        </is>
      </c>
      <c r="G15" s="11" t="inlineStr">
        <is>
          <t>See above — combined Odisha discom impact drove T&amp;D revenue growth through FY22-24.</t>
        </is>
      </c>
    </row>
    <row r="16" ht="45" customHeight="1">
      <c r="A16" s="11" t="inlineStr">
        <is>
          <t>Tata Power</t>
        </is>
      </c>
      <c r="B16" s="11" t="inlineStr">
        <is>
          <t>2023</t>
        </is>
      </c>
      <c r="C16" s="11" t="inlineStr">
        <is>
          <t>Resurgent Power Ventures — NRSS XXXVI Transmission Ltd &amp; South East UP Power Transmission Co Ltd (transmission SPVs)</t>
        </is>
      </c>
      <c r="D16" s="11" t="inlineStr">
        <is>
          <t>Not found</t>
        </is>
      </c>
      <c r="E16" s="11" t="inlineStr">
        <is>
          <t>Completed</t>
        </is>
      </c>
      <c r="F16" s="11" t="inlineStr">
        <is>
          <t>M&amp;A (transmission assets)</t>
        </is>
      </c>
      <c r="G16" s="11" t="inlineStr">
        <is>
          <t>Expands regulated transmission asset base; no standalone P&amp;L disclosed.</t>
        </is>
      </c>
    </row>
    <row r="17" ht="45" customHeight="1">
      <c r="A17" s="11" t="inlineStr">
        <is>
          <t>Tata Power</t>
        </is>
      </c>
      <c r="B17" s="11" t="inlineStr">
        <is>
          <t>Ongoing</t>
        </is>
      </c>
      <c r="C17" s="11" t="inlineStr">
        <is>
          <t>Dorjilung Hydro Power Ltd stake (Bhutan, 1,125 MW project)</t>
        </is>
      </c>
      <c r="D17" s="11" t="inlineStr">
        <is>
          <t>Not found</t>
        </is>
      </c>
      <c r="E17" s="11" t="inlineStr">
        <is>
          <t>In development</t>
        </is>
      </c>
      <c r="F17" s="11" t="inlineStr">
        <is>
          <t>JV/equity stake</t>
        </is>
      </c>
      <c r="G17" s="11" t="inlineStr">
        <is>
          <t>Development-stage; no revenue contribution yet.</t>
        </is>
      </c>
    </row>
    <row r="18" ht="45" customHeight="1">
      <c r="A18" s="11" t="inlineStr">
        <is>
          <t>Tata Power</t>
        </is>
      </c>
      <c r="B18" s="11" t="inlineStr">
        <is>
          <t>Jun 2026</t>
        </is>
      </c>
      <c r="C18" s="11" t="inlineStr">
        <is>
          <t>Ryapte Power (transmission SPV) — Letter of Intent</t>
        </is>
      </c>
      <c r="D18" s="11" t="inlineStr">
        <is>
          <t>Not found</t>
        </is>
      </c>
      <c r="E18" s="11" t="inlineStr">
        <is>
          <t>LOI stage</t>
        </is>
      </c>
      <c r="F18" s="11" t="inlineStr">
        <is>
          <t>M&amp;A</t>
        </is>
      </c>
      <c r="G18" s="11" t="inlineStr">
        <is>
          <t>Too recent — no impact data.</t>
        </is>
      </c>
    </row>
    <row r="19" ht="45" customHeight="1">
      <c r="A19" s="11" t="inlineStr">
        <is>
          <t>Torrent Power</t>
        </is>
      </c>
      <c r="B19" s="11" t="inlineStr">
        <is>
          <t>Apr 2022 (LoI Feb 2021)</t>
        </is>
      </c>
      <c r="C19" s="11" t="inlineStr">
        <is>
          <t>51% stake, Dadra &amp; Nagar Haveli and Daman &amp; Diu (DNH&amp;DD) Power Distribution Corp Ltd</t>
        </is>
      </c>
      <c r="D19" s="11" t="inlineStr">
        <is>
          <t>~555 (bid)</t>
        </is>
      </c>
      <c r="E19" s="11" t="inlineStr">
        <is>
          <t>Completed (after litigation delay)</t>
        </is>
      </c>
      <c r="F19" s="11" t="inlineStr">
        <is>
          <t>PPP discom privatization</t>
        </is>
      </c>
      <c r="G19" s="11" t="inlineStr">
        <is>
          <t>Distribution electricity-purchase volume +63.2% YoY in FY23 (30,037 MU vs 18,405 MU) — a major driver of the FY23 revenue jump to ₹26,076 cr.</t>
        </is>
      </c>
    </row>
    <row r="20" ht="45" customHeight="1">
      <c r="A20" s="11" t="inlineStr">
        <is>
          <t>Torrent Power</t>
        </is>
      </c>
      <c r="B20" s="11" t="inlineStr">
        <is>
          <t>Jul 2022</t>
        </is>
      </c>
      <c r="C20" s="11" t="inlineStr">
        <is>
          <t>Wind Two Renergy — 100% stake</t>
        </is>
      </c>
      <c r="D20" s="11" t="inlineStr">
        <is>
          <t>~4.1 (US$ mn, i.e. ~₹34 cr)</t>
        </is>
      </c>
      <c r="E20" s="11" t="inlineStr">
        <is>
          <t>Completed</t>
        </is>
      </c>
      <c r="F20" s="11" t="inlineStr">
        <is>
          <t>M&amp;A</t>
        </is>
      </c>
      <c r="G20" s="11" t="inlineStr">
        <is>
          <t>Adds wind capacity; no standalone P&amp;L disclosed.</t>
        </is>
      </c>
    </row>
    <row r="21" ht="45" customHeight="1">
      <c r="A21" s="11" t="inlineStr">
        <is>
          <t>Torrent Power</t>
        </is>
      </c>
      <c r="B21" s="11" t="inlineStr">
        <is>
          <t>~2022-23</t>
        </is>
      </c>
      <c r="C21" s="11" t="inlineStr">
        <is>
          <t>Visual Percept Solar Projects (25 MW solar, Gujarat)</t>
        </is>
      </c>
      <c r="D21" s="11" t="inlineStr">
        <is>
          <t>163</t>
        </is>
      </c>
      <c r="E21" s="11" t="inlineStr">
        <is>
          <t>Completed</t>
        </is>
      </c>
      <c r="F21" s="11" t="inlineStr">
        <is>
          <t>M&amp;A</t>
        </is>
      </c>
      <c r="G21" s="11" t="inlineStr">
        <is>
          <t>25-year PPA signed; incremental to solar segment.</t>
        </is>
      </c>
    </row>
    <row r="22" ht="45" customHeight="1">
      <c r="A22" s="11" t="inlineStr">
        <is>
          <t>Torrent Power</t>
        </is>
      </c>
      <c r="B22" s="11" t="inlineStr">
        <is>
          <t>Jun 2026 (SPA Feb 2026)</t>
        </is>
      </c>
      <c r="C22" s="11" t="inlineStr">
        <is>
          <t>Nabha Power Ltd — 100% (2x700 MW coal, Punjab), from L&amp;T Power Development</t>
        </is>
      </c>
      <c r="D22" s="11" t="inlineStr">
        <is>
          <t>~3,632-3,661</t>
        </is>
      </c>
      <c r="E22" s="11" t="inlineStr">
        <is>
          <t>Completed</t>
        </is>
      </c>
      <c r="F22" s="11" t="inlineStr">
        <is>
          <t>M&amp;A</t>
        </is>
      </c>
      <c r="G22" s="11" t="inlineStr">
        <is>
          <t>Lifts total generation capacity from ~5 GW to ~6.4 GW; stock rose ~39% in Apr 2026 partly on this news (pre-completion announcement effect).</t>
        </is>
      </c>
    </row>
    <row r="24">
      <c r="A24" s="15" t="inlineStr">
        <is>
          <t>Comments</t>
        </is>
      </c>
    </row>
    <row r="25" ht="100" customHeight="1">
      <c r="A25" s="16" t="inlineStr">
        <is>
          <t>All three companies have grown primarily through IBC/CIRP-route or PPP-route acquisitions rather than open-market M&amp;A, reflecting the sector's history of stressed/under-construction assets (Adani Power, Tata Power distribution) and government discom-privatization programmes (Tata Power's Odisha discoms, Torrent Power's DNH&amp;DD). Adani Power has been the most acquisitive by deal count and value (five completed + two pending IBC deals since 2022, plus a 24% stake in Jaiprakash Power via a ~₹14,535 cr resolution plan), consistent with its capacity nearly doubling since FY22. None of the three companies publicly disclose acquisition-specific post-deal P&amp;L/cash-flow attribution — this had to be inferred qualitatively from capacity growth and management commentary; a precise before/after contribution analysis would require the acquired entities' standalone financial statements (available via MCA/ROC filings) cross-referenced against the parent's segment note.</t>
        </is>
      </c>
    </row>
    <row r="26"/>
    <row r="27"/>
    <row r="28"/>
    <row r="29"/>
    <row r="30"/>
    <row r="31"/>
  </sheetData>
  <mergeCells count="3">
    <mergeCell ref="A25:G31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50" customWidth="1" min="5" max="5"/>
  </cols>
  <sheetData>
    <row r="1" ht="24" customHeight="1">
      <c r="A1" s="7" t="inlineStr">
        <is>
          <t>5. Shareholding Pattern</t>
        </is>
      </c>
    </row>
    <row r="2">
      <c r="A2" s="8" t="inlineStr">
        <is>
          <t>As at 31-Mar-2026 for Adani Power/Tata Power/Torrent Power — VERIFIED from each company's FY25-26 Annual Report. Major shareholder = &gt;5% of equity.</t>
        </is>
      </c>
    </row>
    <row r="3" ht="6" customHeight="1"/>
    <row r="5">
      <c r="A5" s="9" t="inlineStr">
        <is>
          <t>Metric</t>
        </is>
      </c>
      <c r="B5" s="9" t="inlineStr">
        <is>
          <t>Adani Power</t>
        </is>
      </c>
      <c r="C5" s="9" t="inlineStr">
        <is>
          <t>Tata Power</t>
        </is>
      </c>
      <c r="D5" s="9" t="inlineStr">
        <is>
          <t>Torrent Power</t>
        </is>
      </c>
      <c r="E5" s="9" t="inlineStr">
        <is>
          <t>Notes</t>
        </is>
      </c>
    </row>
    <row r="6" ht="55" customHeight="1">
      <c r="A6" s="11" t="inlineStr">
        <is>
          <t>Promoter holding (%)</t>
        </is>
      </c>
      <c r="B6" s="11" t="inlineStr">
        <is>
          <t>74.96% (Promoter &amp; Promoter Group, per FY26 Annual Report shareholding table)</t>
        </is>
      </c>
      <c r="C6" s="11" t="inlineStr">
        <is>
          <t>46.86% total promoter group; Tata Sons Pvt Ltd alone = 45.21% (per FY26 Annual Report)</t>
        </is>
      </c>
      <c r="D6" s="11" t="inlineStr">
        <is>
          <t>51.09% — Torrent Investments Ltd (formerly Torrent Investments Pvt Ltd), unchanged FY25→FY26 (per FY26 Annual Report)</t>
        </is>
      </c>
      <c r="E6" s="11" t="inlineStr">
        <is>
          <t>VERIFIED from FY25-26 Annual Reports (uploaded).</t>
        </is>
      </c>
    </row>
    <row r="7" ht="55" customHeight="1">
      <c r="A7" s="11" t="inlineStr">
        <is>
          <t>Promoter pledge</t>
        </is>
      </c>
      <c r="B7" s="11" t="inlineStr">
        <is>
          <t>No pledge of promoter shares disclosed in the FY26 Annual Report (only routine subsidiary-loan security pledges by the Company, unrelated to promoter shareholding).</t>
        </is>
      </c>
      <c r="C7" s="11" t="inlineStr">
        <is>
          <t>'Company has not raised loans during the year on the pledge of securities held in its subsidiaries, joint ventures...' — no promoter share pledge disclosed.</t>
        </is>
      </c>
      <c r="D7" s="11" t="inlineStr">
        <is>
          <t>No pledge of promoter shares disclosed in the FY26 Annual Report.</t>
        </is>
      </c>
      <c r="E7" s="11" t="inlineStr">
        <is>
          <t>VERIFIED (nil promoter pledge) from FY25-26 Annual Reports for all three.</t>
        </is>
      </c>
    </row>
    <row r="8" ht="55" customHeight="1">
      <c r="A8" s="11" t="inlineStr">
        <is>
          <t>FII / FPI holding (%)</t>
        </is>
      </c>
      <c r="B8" s="11" t="inlineStr">
        <is>
          <t>11.74% (secondary-source snapshot; not separately re-verified in the Annual Report text extract)</t>
        </is>
      </c>
      <c r="C8" s="11" t="inlineStr">
        <is>
          <t>~10.0-10.04% (secondary-source snapshot)</t>
        </is>
      </c>
      <c r="D8" s="18" t="inlineStr">
        <is>
          <t>8.4%-14.2% (conflicting across sources/dates)</t>
        </is>
      </c>
      <c r="E8" s="11" t="inlineStr">
        <is>
          <t>Category-wise FII/DII % not captured from the Annual Report's shareholding table in this pass — cross-check the full SHP table in each PDF if needed.</t>
        </is>
      </c>
    </row>
    <row r="9" ht="55" customHeight="1">
      <c r="A9" s="11" t="inlineStr">
        <is>
          <t>DII / Mutual Fund holding (%)</t>
        </is>
      </c>
      <c r="B9" s="11" t="inlineStr">
        <is>
          <t>3.69% (DII, secondary-source snapshot)</t>
        </is>
      </c>
      <c r="C9" s="11" t="inlineStr">
        <is>
          <t>8.64% (DII, one source) vs 18.28% (DII, another) — MFs alone ~8.89-9.63%</t>
        </is>
      </c>
      <c r="D9" s="11" t="inlineStr">
        <is>
          <t>SBI Mutual Fund confirmed at 8.57% (FY26, up from 7.95% FY25) — VERIFIED from Annual Report top-10-shareholders table.</t>
        </is>
      </c>
      <c r="E9" s="11" t="inlineStr">
        <is>
          <t>6-month change for SBI MF in Torrent Power (7.95%→8.57%) is now VERIFIED; other DII figures remain secondary-source.</t>
        </is>
      </c>
    </row>
    <row r="10" ht="55" customHeight="1">
      <c r="A10" s="11" t="inlineStr">
        <is>
          <t>Public / Retail (%)</t>
        </is>
      </c>
      <c r="B10" s="11" t="inlineStr">
        <is>
          <t>9.62% (secondary-source snapshot)</t>
        </is>
      </c>
      <c r="C10" s="11" t="inlineStr">
        <is>
          <t>~21.5-25.6% (free float, incl. FII+DII+public)</t>
        </is>
      </c>
      <c r="D10" s="18" t="inlineStr">
        <is>
          <t>~9.3-17.68% (conflicting by source/date)</t>
        </is>
      </c>
      <c r="E10" s="11" t="inlineStr"/>
    </row>
    <row r="11" ht="55" customHeight="1">
      <c r="A11" s="11" t="inlineStr">
        <is>
          <t>Free float (100% - promoter%)</t>
        </is>
      </c>
      <c r="B11" s="11" t="inlineStr">
        <is>
          <t>~25.04%</t>
        </is>
      </c>
      <c r="C11" s="11" t="inlineStr">
        <is>
          <t>~53.14%</t>
        </is>
      </c>
      <c r="D11" s="11" t="inlineStr">
        <is>
          <t>~48.91%</t>
        </is>
      </c>
      <c r="E11" s="11" t="inlineStr">
        <is>
          <t>Approx.; = 100% - promoter%.</t>
        </is>
      </c>
    </row>
    <row r="12" ht="55" customHeight="1">
      <c r="A12" s="11" t="inlineStr">
        <is>
          <t>Named shareholder(s) holding &gt;5%</t>
        </is>
      </c>
      <c r="B12" s="11" t="inlineStr">
        <is>
          <t>NONE currently &gt;5% besides promoter group — GQG Partners (Goldman Sachs Trust II - Goldman Sachs GQG Partner) now holds only 3.30% as of FY26 (down from ~7.7-8.1% in 2023), per the FY26 Annual Report's top-10-shareholders table. No other non-promoter holder exceeds 5%.</t>
        </is>
      </c>
      <c r="C12" s="11" t="inlineStr">
        <is>
          <t>Life Insurance Corporation of India (LIC) — 5.18% as at 31-Mar-2026 (up from 2.96% at 31-Mar-2025), crossing the 5% threshold during FY26 — VERIFIED from the FY26 Annual Report's 'shareholders holding more than 5%' table.</t>
        </is>
      </c>
      <c r="D12" s="11" t="inlineStr">
        <is>
          <t>Gujarat Urja Vikas Nigam Ltd (GUVNL, Gujarat's state power utility) — 6.95%, unchanged FY25→FY26 — VERIFIED from the FY26 Annual Report's top-10-shareholders table. (Earlier flagged 'Aditya Birla Group ~6.34%' claim was NOT found in the primary source and should be disregarded.)</t>
        </is>
      </c>
      <c r="E12" s="11" t="inlineStr">
        <is>
          <t>All three figures in this row are now VERIFIED from primary Annual Reports, replacing prior unconfirmed secondary-source claims.</t>
        </is>
      </c>
    </row>
    <row r="14">
      <c r="A14" s="15" t="inlineStr">
        <is>
          <t>Comments</t>
        </is>
      </c>
    </row>
    <row r="15" ht="100" customHeight="1">
      <c r="A15" s="16" t="inlineStr">
        <is>
          <t>Adani Power has by far the highest promoter concentration (~75%) of the three, leaving the smallest free float (~25%) — typical of Adani Group listed entities, and a legacy of tightened promoter control after the 2023 Hindenburg-report episode (with an emphasis on 'zero pledge' messaging across group companies since). Tata Power's promoter stake (Tata Sons, ~47%) is the lowest of the three, giving it the widest institutional/public float and closest to the SEBI minimum public shareholding norms. Torrent Power sits in between (~51% promoter). Shareholding figures pulled from secondary aggregators showed real inconsistencies across sources/dates for FII/DII splits at all three companies — before using these in the final submission, pull ONE consistent-quarter shareholding-pattern XBRL filing per company directly from BSE/NSE (each company files this quarterly) rather than mixing snapshots from different dates.</t>
        </is>
      </c>
    </row>
    <row r="16"/>
    <row r="17"/>
    <row r="18"/>
    <row r="19"/>
    <row r="20"/>
    <row r="21"/>
  </sheetData>
  <mergeCells count="3">
    <mergeCell ref="A2:E2"/>
    <mergeCell ref="A1:E1"/>
    <mergeCell ref="A15:E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5" customWidth="1" min="2" max="2"/>
    <col width="45" customWidth="1" min="3" max="3"/>
    <col width="45" customWidth="1" min="4" max="4"/>
  </cols>
  <sheetData>
    <row r="1" ht="24" customHeight="1">
      <c r="A1" s="7" t="inlineStr">
        <is>
          <t>6. Reportable Business Segments</t>
        </is>
      </c>
    </row>
    <row r="2">
      <c r="A2" s="8" t="inlineStr">
        <is>
          <t>As disclosed under Ind AS 108 in each company's Annual Report.</t>
        </is>
      </c>
    </row>
    <row r="3" ht="6" customHeight="1"/>
    <row r="5">
      <c r="A5" s="9" t="inlineStr"/>
      <c r="B5" s="9" t="inlineStr">
        <is>
          <t>Adani Power</t>
        </is>
      </c>
      <c r="C5" s="9" t="inlineStr">
        <is>
          <t>Tata Power</t>
        </is>
      </c>
      <c r="D5" s="9" t="inlineStr">
        <is>
          <t>Torrent Power</t>
        </is>
      </c>
    </row>
    <row r="6" ht="90" customHeight="1">
      <c r="A6" s="10" t="inlineStr">
        <is>
          <t>Reportable segments (per Annual Report)</t>
        </is>
      </c>
      <c r="B6" s="11" t="inlineStr">
        <is>
          <t>Two segments: (1) Power Generation, (2) Trading, Investment &amp; Other activities.</t>
        </is>
      </c>
      <c r="C6" s="11" t="inlineStr">
        <is>
          <t>~Four segments: (1) Generation, (2) Transmission &amp; Distribution, (3) Renewables, (4) Solar EPC/Manufacturing &amp; Other.</t>
        </is>
      </c>
      <c r="D6" s="11" t="inlineStr">
        <is>
          <t>Three segments: (1) Generation (gas/coal/renewables), (2) Transmission, (3) Distribution.</t>
        </is>
      </c>
    </row>
    <row r="7" ht="90" customHeight="1">
      <c r="A7" s="10" t="inlineStr">
        <is>
          <t>Approx. revenue mix (most recent disclosed)</t>
        </is>
      </c>
      <c r="B7" s="11" t="inlineStr">
        <is>
          <t>Power Generation is overwhelmingly dominant; Trading/Other is a small residual. Exact % split not found.</t>
        </is>
      </c>
      <c r="C7" s="11" t="inlineStr">
        <is>
          <t>T&amp;D ~55% of revenue, Renewables ~25%, remainder Generation + Other/EPC (FY24/25-era mix, qualitative).</t>
        </is>
      </c>
      <c r="D7" s="11" t="inlineStr">
        <is>
          <t>Distribution is the largest revenue contributor (regulated + volume-driven); Generation dominates capacity but a large share of gas/coal output is sold to the Group's own distribution business.</t>
        </is>
      </c>
    </row>
    <row r="8" ht="90" customHeight="1">
      <c r="A8" s="10" t="inlineStr">
        <is>
          <t>5-yr segment-wise revenue / assets / profit table</t>
        </is>
      </c>
      <c r="B8" s="18" t="inlineStr">
        <is>
          <t>NOT FOUND — segment note (Ind AS 108) inside Annual Report notes-to-accounts was inaccessible via search; pull directly from FY19-FY23 Annual Report PDFs.</t>
        </is>
      </c>
      <c r="C8" s="18" t="inlineStr">
        <is>
          <t>NOT FOUND — same issue; pull the segment-reporting note from each year's Annual Report.</t>
        </is>
      </c>
      <c r="D8" s="18" t="inlineStr">
        <is>
          <t>NOT FOUND — same issue; only qualitative capacity data (e.g., FY23 distribution electricity purchase +63.2% YoY to 30,037 MU) was found via search.</t>
        </is>
      </c>
    </row>
    <row r="9" ht="90" customHeight="1">
      <c r="A9" s="10" t="inlineStr">
        <is>
          <t>Segment growth vs industry benchmark</t>
        </is>
      </c>
      <c r="B9" s="11" t="inlineStr">
        <is>
          <t>India's overall power demand grew ~7-8%/yr in recent years (CEA data); Adani Power's generation-segment growth (capacity nearly doubled since FY22 via M&amp;A) has materially outpaced organic sector growth.</t>
        </is>
      </c>
      <c r="C9" s="11" t="inlineStr">
        <is>
          <t>T&amp;D segment growth benefited from 4 new Odisha discoms (2020-21) — inorganic, faster than organic distribution-sector growth; Renewables segment growing faster than India's ~15-20%/yr renewable capacity addition rate per company commentary.</t>
        </is>
      </c>
      <c r="D9" s="11" t="inlineStr">
        <is>
          <t>Distribution segment volume growth (+63.2% in FY23) was overwhelmingly driven by the DNH&amp;DD acquisition (inorganic), not organic like-for-like growth — strip this out for a fair industry comparison.</t>
        </is>
      </c>
    </row>
    <row r="11">
      <c r="A11" s="15" t="inlineStr">
        <is>
          <t>Comparative comment</t>
        </is>
      </c>
    </row>
    <row r="12" ht="100" customHeight="1">
      <c r="A12" s="16" t="inlineStr">
        <is>
          <t>Adani Power is essentially a pure-play generation company (single dominant segment), while Tata Power and Torrent Power are vertically integrated across generation-transmission-distribution, which structurally smooths their earnings (regulated D&amp;T returns cushion merchant-generation volatility) relative to Adani Power's more merchant/PPA-driven, generation-only earnings profile. Among the two integrated peers, Tata Power is furthest along the renewables transition (~25% of revenue mix, explicit 100%-renewable ambition), while Torrent Power remains more gas/coal-weighted in generation with distribution as its largest and most stable segment. A precise, numbers-based segment growth-rate comparison could not be completed — the exact Ind AS 108 segment tables (revenue/assets/profit by segment, 5-yr) need to be manually extracted from each company's Annual Report notes, as this data is not surfaced by web search.</t>
        </is>
      </c>
    </row>
    <row r="13"/>
    <row r="14"/>
    <row r="15"/>
    <row r="16"/>
    <row r="17"/>
    <row r="18"/>
  </sheetData>
  <mergeCells count="3">
    <mergeCell ref="A1:D1"/>
    <mergeCell ref="A12:D18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50" customWidth="1" min="4" max="4"/>
  </cols>
  <sheetData>
    <row r="1" ht="24" customHeight="1">
      <c r="A1" s="7" t="inlineStr">
        <is>
          <t>7. Group Structure — Subsidiaries</t>
        </is>
      </c>
    </row>
    <row r="2">
      <c r="A2" s="8" t="inlineStr">
        <is>
          <t>Key subsidiaries and % holding, with one-line business description.</t>
        </is>
      </c>
    </row>
    <row r="3" ht="6" customHeight="1"/>
    <row r="5">
      <c r="A5" s="9" t="inlineStr">
        <is>
          <t>Company</t>
        </is>
      </c>
      <c r="B5" s="9" t="inlineStr">
        <is>
          <t>Subsidiary</t>
        </is>
      </c>
      <c r="C5" s="9" t="inlineStr">
        <is>
          <t>% Holding</t>
        </is>
      </c>
      <c r="D5" s="9" t="inlineStr">
        <is>
          <t>Business Description</t>
        </is>
      </c>
    </row>
    <row r="6" ht="45" customHeight="1">
      <c r="A6" s="11" t="inlineStr">
        <is>
          <t>Adani Power</t>
        </is>
      </c>
      <c r="B6" s="11" t="inlineStr">
        <is>
          <t>Mahan Energen Ltd (MEL)</t>
        </is>
      </c>
      <c r="C6" s="11" t="inlineStr">
        <is>
          <t>100%</t>
        </is>
      </c>
      <c r="D6" s="11" t="inlineStr">
        <is>
          <t>1,200 MW (2x600) coal thermal plant, MP; ex-Essar Power MP, acquired via CIRP Mar 2022.</t>
        </is>
      </c>
    </row>
    <row r="7" ht="45" customHeight="1">
      <c r="A7" s="11" t="inlineStr">
        <is>
          <t>Adani Power</t>
        </is>
      </c>
      <c r="B7" s="11" t="inlineStr">
        <is>
          <t>Korba Power Ltd (KPL)</t>
        </is>
      </c>
      <c r="C7" s="11" t="inlineStr">
        <is>
          <t>100%</t>
        </is>
      </c>
      <c r="D7" s="11" t="inlineStr">
        <is>
          <t>600 MW (2x300) coal thermal plant, Chhattisgarh; ex-Lanco Amarkantak, NCLT-approved Aug 2024.</t>
        </is>
      </c>
    </row>
    <row r="8" ht="45" customHeight="1">
      <c r="A8" s="11" t="inlineStr">
        <is>
          <t>Adani Power</t>
        </is>
      </c>
      <c r="B8" s="11" t="inlineStr">
        <is>
          <t>Kutchh Power Generation Ltd (KPGL)</t>
        </is>
      </c>
      <c r="C8" s="11" t="inlineStr">
        <is>
          <t>100% (step-down, via APDL)</t>
        </is>
      </c>
      <c r="D8" s="11" t="inlineStr">
        <is>
          <t>Held via Adani Power Dahanu Ltd (APDL); generation asset in Gujarat.</t>
        </is>
      </c>
    </row>
    <row r="9" ht="45" customHeight="1">
      <c r="A9" s="11" t="inlineStr">
        <is>
          <t>Adani Power</t>
        </is>
      </c>
      <c r="B9" s="11" t="inlineStr">
        <is>
          <t>Adani Power Dahanu Ltd (APDL)</t>
        </is>
      </c>
      <c r="C9" s="11" t="inlineStr">
        <is>
          <t>100%</t>
        </is>
      </c>
      <c r="D9" s="11" t="inlineStr">
        <is>
          <t>Holding vehicle for Dahanu-related generation assets.</t>
        </is>
      </c>
    </row>
    <row r="10" ht="45" customHeight="1">
      <c r="A10" s="11" t="inlineStr">
        <is>
          <t>Adani Power</t>
        </is>
      </c>
      <c r="B10" s="11" t="inlineStr">
        <is>
          <t>Adani Atomic Energy Ltd (AAEL)</t>
        </is>
      </c>
      <c r="C10" s="11" t="inlineStr">
        <is>
          <t>100% (incorporated Feb 2026)</t>
        </is>
      </c>
      <c r="D10" s="11" t="inlineStr">
        <is>
          <t>New entry into nuclear power generation, post the SHANTI Act 2025 opening the sector to private players.</t>
        </is>
      </c>
    </row>
    <row r="11" ht="45" customHeight="1">
      <c r="A11" s="11" t="inlineStr">
        <is>
          <t>Adani Power</t>
        </is>
      </c>
      <c r="B11" s="11" t="inlineStr">
        <is>
          <t>Progressive-UP Atomic Energy / Coastal-Maha Atomic Energy Ltd (CMAEL)</t>
        </is>
      </c>
      <c r="C11" s="11" t="inlineStr">
        <is>
          <t>100% (step-down, incorporated 2026)</t>
        </is>
      </c>
      <c r="D11" s="11" t="inlineStr">
        <is>
          <t>Further nuclear-energy project SPVs.</t>
        </is>
      </c>
    </row>
    <row r="12" ht="45" customHeight="1">
      <c r="A12" s="11" t="inlineStr">
        <is>
          <t>Adani Power</t>
        </is>
      </c>
      <c r="B12" s="11" t="inlineStr">
        <is>
          <t>[6 amalgamated cos: Adani Power Maharashtra, Adani Power Rajasthan, Udupi Power Corp, Raipur Energen, Raigarh Energy Generation, Adani Power (Mundra)]</t>
        </is>
      </c>
      <c r="C12" s="11" t="inlineStr">
        <is>
          <t>N/A — merged into parent 1-Oct-2021</t>
        </is>
      </c>
      <c r="D12" s="11" t="inlineStr">
        <is>
          <t>Corporate simplification: these erstwhile subsidiaries were amalgamated directly into Adani Power Ltd.</t>
        </is>
      </c>
    </row>
    <row r="13" ht="45" customHeight="1">
      <c r="A13" s="11" t="inlineStr">
        <is>
          <t>Adani Power</t>
        </is>
      </c>
      <c r="B13" s="11" t="inlineStr">
        <is>
          <t>[FULL AOC-1 list]</t>
        </is>
      </c>
      <c r="C13" s="11" t="inlineStr">
        <is>
          <t>—</t>
        </is>
      </c>
      <c r="D13" s="18" t="inlineStr">
        <is>
          <t>VERIFY: complete statutory subsidiary list with exact % holdings should be pulled from the AOC-1 annexure of the FY23/FY24 Annual Report (BSE corporate filings).</t>
        </is>
      </c>
    </row>
    <row r="14" ht="45" customHeight="1">
      <c r="A14" s="11" t="inlineStr">
        <is>
          <t>Tata Power</t>
        </is>
      </c>
      <c r="B14" s="11" t="inlineStr">
        <is>
          <t>Tata Power Renewable Energy Ltd (TPREL)</t>
        </is>
      </c>
      <c r="C14" s="18" t="inlineStr">
        <is>
          <t>~100% (verify current %)</t>
        </is>
      </c>
      <c r="D14" s="11" t="inlineStr">
        <is>
          <t>Renewable energy arm — utility-scale + rooftop solar and wind generation/EPC; itself has 70 subsidiaries (47 wholly-owned) as of Mar-2024.</t>
        </is>
      </c>
    </row>
    <row r="15" ht="45" customHeight="1">
      <c r="A15" s="11" t="inlineStr">
        <is>
          <t>Tata Power</t>
        </is>
      </c>
      <c r="B15" s="11" t="inlineStr">
        <is>
          <t>Tata Power Solar Systems Ltd (TPSSL)</t>
        </is>
      </c>
      <c r="C15" s="11" t="inlineStr">
        <is>
          <t>Verify %</t>
        </is>
      </c>
      <c r="D15" s="11" t="inlineStr">
        <is>
          <t>Solar cell/module manufacturing and EPC.</t>
        </is>
      </c>
    </row>
    <row r="16" ht="45" customHeight="1">
      <c r="A16" s="11" t="inlineStr">
        <is>
          <t>Tata Power</t>
        </is>
      </c>
      <c r="B16" s="11" t="inlineStr">
        <is>
          <t>Tata Power Delhi Distribution Ltd (Tata Power-DDL)</t>
        </is>
      </c>
      <c r="C16" s="11" t="inlineStr">
        <is>
          <t>51% (JV with Delhi Govt / Delhi Power Co Ltd, 49%)</t>
        </is>
      </c>
      <c r="D16" s="11" t="inlineStr">
        <is>
          <t>Electricity distribution licensee for North Delhi.</t>
        </is>
      </c>
    </row>
    <row r="17" ht="45" customHeight="1">
      <c r="A17" s="11" t="inlineStr">
        <is>
          <t>Tata Power</t>
        </is>
      </c>
      <c r="B17" s="11" t="inlineStr">
        <is>
          <t>TP Northern/Central/Western/Southern Odisha Distribution Ltds (TPNODL/TPCODL/TPWODL/TPSODL)</t>
        </is>
      </c>
      <c r="C17" s="11" t="inlineStr">
        <is>
          <t>51% each</t>
        </is>
      </c>
      <c r="D17" s="11" t="inlineStr">
        <is>
          <t>Four Odisha discoms acquired 2020-21 (PPP with Odisha Govt); serve 12.6mn+ customers.</t>
        </is>
      </c>
    </row>
    <row r="18" ht="45" customHeight="1">
      <c r="A18" s="11" t="inlineStr">
        <is>
          <t>Tata Power</t>
        </is>
      </c>
      <c r="B18" s="11" t="inlineStr">
        <is>
          <t>Resurgent Power Ventures Pte Ltd (incl. NRSS XXXVI Transmission Ltd, South East UP Power Transmission Co Ltd)</t>
        </is>
      </c>
      <c r="C18" s="11" t="inlineStr">
        <is>
          <t>Verify %</t>
        </is>
      </c>
      <c r="D18" s="11" t="inlineStr">
        <is>
          <t>Acquisition vehicle for transmission-project SPVs (acquired 2023).</t>
        </is>
      </c>
    </row>
    <row r="19" ht="45" customHeight="1">
      <c r="A19" s="11" t="inlineStr">
        <is>
          <t>Tata Power</t>
        </is>
      </c>
      <c r="B19" s="11" t="inlineStr">
        <is>
          <t>Coastal Gujarat Power Ltd (CGPL) — NOTE</t>
        </is>
      </c>
      <c r="C19" s="11" t="inlineStr">
        <is>
          <t>Merged into parent, 1-Apr-2020</t>
        </is>
      </c>
      <c r="D19" s="11" t="inlineStr">
        <is>
          <t>Owner/operator of Mundra UMPP; NCLT-approved merger means it is NO LONGER a separate subsidiary — Mundra is now a direct Generation-segment asset.</t>
        </is>
      </c>
    </row>
    <row r="20" ht="45" customHeight="1">
      <c r="A20" s="11" t="inlineStr">
        <is>
          <t>Tata Power</t>
        </is>
      </c>
      <c r="B20" s="11" t="inlineStr">
        <is>
          <t>[FULL subsidiary/JV/associate list]</t>
        </is>
      </c>
      <c r="C20" s="11" t="inlineStr">
        <is>
          <t>—</t>
        </is>
      </c>
      <c r="D20" s="18" t="inlineStr">
        <is>
          <t>VERIFY: Tata Power's 'Subsidiaries, JVs and Associates' annexure (dozens of generation/transmission/renewable SPVs) — pull from the Integrated Annual Report or AOC-1.</t>
        </is>
      </c>
    </row>
    <row r="21" ht="45" customHeight="1">
      <c r="A21" s="11" t="inlineStr">
        <is>
          <t>Torrent Power</t>
        </is>
      </c>
      <c r="B21" s="11" t="inlineStr">
        <is>
          <t>Torrent Power Grid Ltd</t>
        </is>
      </c>
      <c r="C21" s="11" t="inlineStr">
        <is>
          <t>74% (JV; PowerGrid Corp of India holds 26%)</t>
        </is>
      </c>
      <c r="D21" s="11" t="inlineStr">
        <is>
          <t>Interstate power transmission.</t>
        </is>
      </c>
    </row>
    <row r="22" ht="45" customHeight="1">
      <c r="A22" s="11" t="inlineStr">
        <is>
          <t>Torrent Power</t>
        </is>
      </c>
      <c r="B22" s="11" t="inlineStr">
        <is>
          <t>Torrent Pipavav Generation Ltd</t>
        </is>
      </c>
      <c r="C22" s="11" t="inlineStr">
        <is>
          <t>95%</t>
        </is>
      </c>
      <c r="D22" s="11" t="inlineStr">
        <is>
          <t>Power generation, Pipavav.</t>
        </is>
      </c>
    </row>
    <row r="23" ht="45" customHeight="1">
      <c r="A23" s="11" t="inlineStr">
        <is>
          <t>Torrent Power</t>
        </is>
      </c>
      <c r="B23" s="11" t="inlineStr">
        <is>
          <t>Torrent Solargen Ltd</t>
        </is>
      </c>
      <c r="C23" s="11" t="inlineStr">
        <is>
          <t>100%</t>
        </is>
      </c>
      <c r="D23" s="11" t="inlineStr">
        <is>
          <t>Solar power generation.</t>
        </is>
      </c>
    </row>
    <row r="24" ht="45" customHeight="1">
      <c r="A24" s="11" t="inlineStr">
        <is>
          <t>Torrent Power</t>
        </is>
      </c>
      <c r="B24" s="11" t="inlineStr">
        <is>
          <t>Jodhpur Wind Farms Pvt Ltd</t>
        </is>
      </c>
      <c r="C24" s="11" t="inlineStr">
        <is>
          <t>100%</t>
        </is>
      </c>
      <c r="D24" s="11" t="inlineStr">
        <is>
          <t>Wind power generation, Rajasthan.</t>
        </is>
      </c>
    </row>
    <row r="25" ht="45" customHeight="1">
      <c r="A25" s="11" t="inlineStr">
        <is>
          <t>Torrent Power</t>
        </is>
      </c>
      <c r="B25" s="11" t="inlineStr">
        <is>
          <t>Latur Renewable Pvt Ltd</t>
        </is>
      </c>
      <c r="C25" s="11" t="inlineStr">
        <is>
          <t>100%</t>
        </is>
      </c>
      <c r="D25" s="11" t="inlineStr">
        <is>
          <t>Renewable power generation.</t>
        </is>
      </c>
    </row>
    <row r="26" ht="45" customHeight="1">
      <c r="A26" s="11" t="inlineStr">
        <is>
          <t>Torrent Power</t>
        </is>
      </c>
      <c r="B26" s="11" t="inlineStr">
        <is>
          <t>Torrent Electricals Pvt Ltd (ex-TCL Cables Pvt Ltd)</t>
        </is>
      </c>
      <c r="C26" s="11" t="inlineStr">
        <is>
          <t>100%</t>
        </is>
      </c>
      <c r="D26" s="11" t="inlineStr">
        <is>
          <t>Cables/electricals manufacturing.</t>
        </is>
      </c>
    </row>
    <row r="27" ht="45" customHeight="1">
      <c r="A27" s="11" t="inlineStr">
        <is>
          <t>Torrent Power</t>
        </is>
      </c>
      <c r="B27" s="11" t="inlineStr">
        <is>
          <t>Dadra &amp; Nagar Haveli and Daman &amp; Diu Power Distribution Corp Ltd</t>
        </is>
      </c>
      <c r="C27" s="11" t="inlineStr">
        <is>
          <t>51%</t>
        </is>
      </c>
      <c r="D27" s="11" t="inlineStr">
        <is>
          <t>Power distribution licensee (DNH&amp;DD), acquired 2022.</t>
        </is>
      </c>
    </row>
    <row r="28" ht="45" customHeight="1">
      <c r="A28" s="11" t="inlineStr">
        <is>
          <t>Torrent Power</t>
        </is>
      </c>
      <c r="B28" s="11" t="inlineStr">
        <is>
          <t>Nabha Power Ltd</t>
        </is>
      </c>
      <c r="C28" s="11" t="inlineStr">
        <is>
          <t>100% (acquired Jun 2025)</t>
        </is>
      </c>
      <c r="D28" s="11" t="inlineStr">
        <is>
          <t>2x700 MW coal-based supercritical thermal plant, Punjab.</t>
        </is>
      </c>
    </row>
    <row r="29" ht="45" customHeight="1">
      <c r="A29" s="11" t="inlineStr">
        <is>
          <t>Torrent Power</t>
        </is>
      </c>
      <c r="B29" s="11" t="inlineStr">
        <is>
          <t>Visual Percept Solar Projects Pvt Ltd, Surya Vidyut Ltd, Sunshakti Solar Power Projects Pvt Ltd, Torrent Saurya Urja series</t>
        </is>
      </c>
      <c r="C29" s="11" t="inlineStr">
        <is>
          <t>100% (Torrent Saurya Urja 2 confirmed; others not confirmed %)</t>
        </is>
      </c>
      <c r="D29" s="11" t="inlineStr">
        <is>
          <t>Solar power project SPVs.</t>
        </is>
      </c>
    </row>
    <row r="30" ht="45" customHeight="1">
      <c r="A30" s="11" t="inlineStr">
        <is>
          <t>Torrent Power</t>
        </is>
      </c>
      <c r="B30" s="11" t="inlineStr">
        <is>
          <t>[FULL list — ~35 subsidiaries reported]</t>
        </is>
      </c>
      <c r="C30" s="11" t="inlineStr">
        <is>
          <t>—</t>
        </is>
      </c>
      <c r="D30" s="18" t="inlineStr">
        <is>
          <t>VERIFY: only a partial list could be corroborated; pull the complete AOC-1 statement from torrentpower.com/index.php/site/info/subsidiaries or the Annual Report.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50" customWidth="1" min="4" max="4"/>
  </cols>
  <sheetData>
    <row r="1" ht="24" customHeight="1">
      <c r="A1" s="7" t="inlineStr">
        <is>
          <t>8. Associates &amp; Joint Ventures</t>
        </is>
      </c>
    </row>
    <row r="2">
      <c r="A2" s="8" t="inlineStr"/>
    </row>
    <row r="3" ht="6" customHeight="1"/>
    <row r="5">
      <c r="A5" s="9" t="inlineStr">
        <is>
          <t>Company</t>
        </is>
      </c>
      <c r="B5" s="9" t="inlineStr">
        <is>
          <t>Associate / JV</t>
        </is>
      </c>
      <c r="C5" s="9" t="inlineStr">
        <is>
          <t>Stake</t>
        </is>
      </c>
      <c r="D5" s="9" t="inlineStr">
        <is>
          <t>Notes</t>
        </is>
      </c>
    </row>
    <row r="6" ht="45" customHeight="1">
      <c r="A6" s="11" t="inlineStr">
        <is>
          <t>Adani Power</t>
        </is>
      </c>
      <c r="B6" s="11" t="inlineStr">
        <is>
          <t>Moxie Power Generation Ltd (ex-Coastal Energen, 1,200 MW, Tamil Nadu)</t>
        </is>
      </c>
      <c r="C6" s="11" t="inlineStr">
        <is>
          <t>49% (JV with Dickey Alternative Investment Trust, 51%)</t>
        </is>
      </c>
      <c r="D6" s="11" t="inlineStr">
        <is>
          <t>Adani does NOT hold majority — classified as JV/associate, not a subsidiary.</t>
        </is>
      </c>
    </row>
    <row r="7" ht="45" customHeight="1">
      <c r="A7" s="11" t="inlineStr">
        <is>
          <t>Adani Power</t>
        </is>
      </c>
      <c r="B7" s="11" t="inlineStr">
        <is>
          <t>Jaiprakash Power Ventures Ltd (JPVL)</t>
        </is>
      </c>
      <c r="C7" s="11" t="inlineStr">
        <is>
          <t>24% (indirect, via resolution plan)</t>
        </is>
      </c>
      <c r="D7" s="11" t="inlineStr">
        <is>
          <t>Adani Power named 'Implementing Entity'; NCLT-approved ~Mar 2026 (~₹14,535 cr resolution plan).</t>
        </is>
      </c>
    </row>
    <row r="8" ht="45" customHeight="1">
      <c r="A8" s="11" t="inlineStr">
        <is>
          <t>Adani Power</t>
        </is>
      </c>
      <c r="B8" s="11" t="inlineStr">
        <is>
          <t>Adani Power–Druk Green Power Corp JV (Bhutan)</t>
        </is>
      </c>
      <c r="C8" s="11" t="inlineStr">
        <is>
          <t>Not disclosed</t>
        </is>
      </c>
      <c r="D8" s="11" t="inlineStr">
        <is>
          <t>570 MW Wangchhu hydro project (~₹6,000 cr); Shareholders Agreement signed Sep 2025; part of a broader 5,000 MW MoU (May 2025).</t>
        </is>
      </c>
    </row>
    <row r="9" ht="45" customHeight="1">
      <c r="A9" s="11" t="inlineStr">
        <is>
          <t>Tata Power</t>
        </is>
      </c>
      <c r="B9" s="11" t="inlineStr">
        <is>
          <t>Tata Power Delhi Distribution Ltd</t>
        </is>
      </c>
      <c r="C9" s="11" t="inlineStr">
        <is>
          <t>51% (see Sheet 7 — sometimes classified as JV given 49% Delhi Govt partner)</t>
        </is>
      </c>
      <c r="D9" s="11" t="inlineStr">
        <is>
          <t>Listed here for completeness; treated as subsidiary in Sheet 7 given majority control.</t>
        </is>
      </c>
    </row>
    <row r="10" ht="45" customHeight="1">
      <c r="A10" s="11" t="inlineStr">
        <is>
          <t>Tata Power</t>
        </is>
      </c>
      <c r="B10" s="11" t="inlineStr">
        <is>
          <t>Dorjilung Hydro Power Ltd (Bhutan)</t>
        </is>
      </c>
      <c r="C10" s="11" t="inlineStr">
        <is>
          <t>Stake not disclosed</t>
        </is>
      </c>
      <c r="D10" s="11" t="inlineStr">
        <is>
          <t>1,125 MW hydro project under development.</t>
        </is>
      </c>
    </row>
    <row r="11" ht="45" customHeight="1">
      <c r="A11" s="11" t="inlineStr">
        <is>
          <t>Tata Power</t>
        </is>
      </c>
      <c r="B11" s="11" t="inlineStr">
        <is>
          <t>[Other associates/JVs]</t>
        </is>
      </c>
      <c r="C11" s="11" t="inlineStr">
        <is>
          <t>—</t>
        </is>
      </c>
      <c r="D11" s="18" t="inlineStr">
        <is>
          <t>VERIFY: Tata Power's full associates/JV list not retrievable via search — pull from Annual Report.</t>
        </is>
      </c>
    </row>
    <row r="12" ht="45" customHeight="1">
      <c r="A12" s="11" t="inlineStr">
        <is>
          <t>Torrent Power</t>
        </is>
      </c>
      <c r="B12" s="11" t="inlineStr">
        <is>
          <t>2 associate companies (per AOC-1 reference)</t>
        </is>
      </c>
      <c r="C12" s="11" t="inlineStr">
        <is>
          <t>Not disclosed</t>
        </is>
      </c>
      <c r="D12" s="18" t="inlineStr">
        <is>
          <t>VERIFY: names/business of the 2 associate companies not found via search — pull from Annual Report AOC-1.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20" customWidth="1" min="3" max="3"/>
  </cols>
  <sheetData>
    <row r="1" ht="24" customHeight="1">
      <c r="A1" s="7" t="inlineStr">
        <is>
          <t>9. Investments (excl. Subsidiaries/Associates/JVs) — up to FY2023</t>
        </is>
      </c>
    </row>
    <row r="2">
      <c r="A2" s="8" t="inlineStr"/>
    </row>
    <row r="3" ht="6" customHeight="1"/>
    <row r="5">
      <c r="A5" s="9" t="inlineStr">
        <is>
          <t>Company</t>
        </is>
      </c>
      <c r="B5" s="9" t="inlineStr">
        <is>
          <t>Finding</t>
        </is>
      </c>
      <c r="C5" s="9" t="inlineStr">
        <is>
          <t>Data Quality</t>
        </is>
      </c>
    </row>
    <row r="6" ht="70" customHeight="1">
      <c r="A6" s="11" t="inlineStr">
        <is>
          <t>Adani Power</t>
        </is>
      </c>
      <c r="B6" s="18" t="inlineStr">
        <is>
          <t>No disclosed breakdown of non-subsidiary investment portfolio (govt securities, mutual funds, bonds) found for FY19-FY23. This sits in the balance-sheet 'Investments' / 'Other Financial Assets' note.</t>
        </is>
      </c>
      <c r="C6" s="11" t="inlineStr">
        <is>
          <t>GAP — pull from Annual Report</t>
        </is>
      </c>
    </row>
    <row r="7" ht="70" customHeight="1">
      <c r="A7" s="11" t="inlineStr">
        <is>
          <t>Tata Power</t>
        </is>
      </c>
      <c r="B7" s="18" t="inlineStr">
        <is>
          <t>One unverified secondary snippet suggested non-current investments of ~₹12,064.55 crore as of March 2023 (consolidation basis unclear, source of uncertain provenance).</t>
        </is>
      </c>
      <c r="C7" s="11" t="inlineStr">
        <is>
          <t>UNVERIFIED — do not cite without checking the FY23 balance sheet directly</t>
        </is>
      </c>
    </row>
    <row r="8" ht="70" customHeight="1">
      <c r="A8" s="11" t="inlineStr">
        <is>
          <t>Torrent Power</t>
        </is>
      </c>
      <c r="B8" s="18" t="inlineStr">
        <is>
          <t>Holds Government of India Bonds as part of a regulatory 'contingency reserve' required under GERC Multi-Year Tariff Regulations (tied to its Gujarat distribution license) — i.e., regulatory-mandated, not discretionary treasury investment. No itemized schedule found.</t>
        </is>
      </c>
      <c r="C8" s="11" t="inlineStr">
        <is>
          <t>PARTIAL — nature identified, amounts not found</t>
        </is>
      </c>
    </row>
    <row r="10">
      <c r="A10" s="19" t="inlineStr">
        <is>
          <t>Note: this section requires the 'Investments' note from each company's FY2023 standalone/consolidated Balance Sheet — none of the three companies' figures could be reliably retrieved via web search in this session.</t>
        </is>
      </c>
    </row>
  </sheetData>
  <mergeCells count="3">
    <mergeCell ref="A1:C1"/>
    <mergeCell ref="A2:C2"/>
    <mergeCell ref="A10:C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55" customWidth="1" min="3" max="3"/>
    <col width="20" customWidth="1" min="4" max="4"/>
  </cols>
  <sheetData>
    <row r="1" ht="24" customHeight="1">
      <c r="A1" s="7" t="inlineStr">
        <is>
          <t>10. Major Changes in Financing (last 5 years)</t>
        </is>
      </c>
    </row>
    <row r="2">
      <c r="A2" s="8" t="inlineStr"/>
    </row>
    <row r="3" ht="6" customHeight="1"/>
    <row r="5">
      <c r="A5" s="9" t="inlineStr">
        <is>
          <t>Company</t>
        </is>
      </c>
      <c r="B5" s="9" t="inlineStr">
        <is>
          <t>Date</t>
        </is>
      </c>
      <c r="C5" s="9" t="inlineStr">
        <is>
          <t>Event</t>
        </is>
      </c>
      <c r="D5" s="9" t="inlineStr">
        <is>
          <t>Amount (₹ cr)</t>
        </is>
      </c>
    </row>
    <row r="6" ht="55" customHeight="1">
      <c r="A6" s="11" t="inlineStr">
        <is>
          <t>Adani Power</t>
        </is>
      </c>
      <c r="B6" s="11" t="inlineStr">
        <is>
          <t>Jan 2024</t>
        </is>
      </c>
      <c r="C6" s="11" t="inlineStr">
        <is>
          <t>CRISIL upgraded bank-facility rating to AA-/Stable from A/Stable</t>
        </is>
      </c>
      <c r="D6" s="11" t="inlineStr">
        <is>
          <t>—</t>
        </is>
      </c>
    </row>
    <row r="7" ht="55" customHeight="1">
      <c r="A7" s="11" t="inlineStr">
        <is>
          <t>Adani Power</t>
        </is>
      </c>
      <c r="B7" s="11" t="inlineStr">
        <is>
          <t>Feb 2025</t>
        </is>
      </c>
      <c r="C7" s="11" t="inlineStr">
        <is>
          <t>CRISIL upgraded to AA/Stable from AA-/Positive on ₹38,000 cr long-term bank facilities; assigned AA/Stable to proposed NCDs</t>
        </is>
      </c>
      <c r="D7" s="11" t="inlineStr">
        <is>
          <t>38,000 (facilities); 11,000 (proposed NCDs)</t>
        </is>
      </c>
    </row>
    <row r="8" ht="55" customHeight="1">
      <c r="A8" s="11" t="inlineStr">
        <is>
          <t>Adani Power</t>
        </is>
      </c>
      <c r="B8" s="11" t="inlineStr">
        <is>
          <t>FY22→FY24</t>
        </is>
      </c>
      <c r="C8" s="11" t="inlineStr">
        <is>
          <t>Deleveraging: net debt/EBITDA fell from ~4.0x (Mar-22) to 3.3x (Mar-23) to 1.4x (Mar-24)</t>
        </is>
      </c>
      <c r="D8" s="11" t="inlineStr">
        <is>
          <t>Net debt ~26,270-26,545 (Q4 FY24)</t>
        </is>
      </c>
    </row>
    <row r="9" ht="55" customHeight="1">
      <c r="A9" s="11" t="inlineStr">
        <is>
          <t>Adani Power</t>
        </is>
      </c>
      <c r="B9" s="11" t="inlineStr">
        <is>
          <t>FY24→FY25</t>
        </is>
      </c>
      <c r="C9" s="11" t="inlineStr">
        <is>
          <t>Shareholders' funds grew from ₹43,145 cr (31-Mar-24) to ₹56,347 cr (31-Mar-25)</t>
        </is>
      </c>
      <c r="D9" s="11" t="inlineStr">
        <is>
          <t>+13,202</t>
        </is>
      </c>
    </row>
    <row r="10" ht="55" customHeight="1">
      <c r="A10" s="11" t="inlineStr">
        <is>
          <t>Adani Power</t>
        </is>
      </c>
      <c r="B10" s="11" t="inlineStr">
        <is>
          <t>1-Aug-2025 / 22-Sep-2025</t>
        </is>
      </c>
      <c r="C10" s="11" t="inlineStr">
        <is>
          <t>1:5 stock split announced / effective (face value ₹10 → ₹2) — capital structure change, not a capital raise</t>
        </is>
      </c>
      <c r="D10" s="11" t="inlineStr">
        <is>
          <t>—</t>
        </is>
      </c>
    </row>
    <row r="11" ht="55" customHeight="1">
      <c r="A11" s="11" t="inlineStr">
        <is>
          <t>Tata Power</t>
        </is>
      </c>
      <c r="B11" s="11" t="inlineStr">
        <is>
          <t>30-Jul-2020</t>
        </is>
      </c>
      <c r="C11" s="11" t="inlineStr">
        <is>
          <t>₹2,600 cr preferential allotment of ~49.06 cr shares to promoter Tata Sons at ₹53/share, to cut debt &amp; fund capex; raised promoter stake 35.27%→45.21%</t>
        </is>
      </c>
      <c r="D11" s="11" t="inlineStr">
        <is>
          <t>2,600</t>
        </is>
      </c>
    </row>
    <row r="12" ht="55" customHeight="1">
      <c r="A12" s="11" t="inlineStr">
        <is>
          <t>Tata Power</t>
        </is>
      </c>
      <c r="B12" s="11" t="inlineStr">
        <is>
          <t>Apr-2024</t>
        </is>
      </c>
      <c r="C12" s="11" t="inlineStr">
        <is>
          <t>CRISIL upgraded to AA+/Stable from AA/Positive, citing improved generation/distribution profitability</t>
        </is>
      </c>
      <c r="D12" s="11" t="inlineStr">
        <is>
          <t>—</t>
        </is>
      </c>
    </row>
    <row r="13" ht="55" customHeight="1">
      <c r="A13" s="11" t="inlineStr">
        <is>
          <t>Tata Power</t>
        </is>
      </c>
      <c r="B13" s="11" t="inlineStr">
        <is>
          <t>FY22→FY24</t>
        </is>
      </c>
      <c r="C13" s="11" t="inlineStr">
        <is>
          <t>Deleveraging: net debt/EBITDA fell from ~4.5x (FY22) to 3.8x (FY23), sustained &lt;4.0x through FY24; debtor days improved from &gt;150 to ~102 days</t>
        </is>
      </c>
      <c r="D13" s="11" t="inlineStr">
        <is>
          <t>—</t>
        </is>
      </c>
    </row>
    <row r="14" ht="55" customHeight="1">
      <c r="A14" s="11" t="inlineStr">
        <is>
          <t>Torrent Power</t>
        </is>
      </c>
      <c r="B14" s="11" t="inlineStr">
        <is>
          <t>Dec-2024</t>
        </is>
      </c>
      <c r="C14" s="11" t="inlineStr">
        <is>
          <t>Maiden QIP — ₹3,500 cr raised at ₹1,503/share (~2.32 cr shares); first Torrent Group equity raise in ~3 decades; ~4x oversubscribed (bids ~₹14,000 cr)</t>
        </is>
      </c>
      <c r="D14" s="11" t="inlineStr">
        <is>
          <t>3,500</t>
        </is>
      </c>
    </row>
    <row r="15" ht="55" customHeight="1">
      <c r="A15" s="11" t="inlineStr">
        <is>
          <t>Torrent Power</t>
        </is>
      </c>
      <c r="B15" s="11" t="inlineStr">
        <is>
          <t>Apr-2022</t>
        </is>
      </c>
      <c r="C15" s="11" t="inlineStr">
        <is>
          <t>Series 8 NCDs — ₹600 cr (coupons 6.20%-7.45% across tenors)</t>
        </is>
      </c>
      <c r="D15" s="11" t="inlineStr">
        <is>
          <t>600</t>
        </is>
      </c>
    </row>
    <row r="16" ht="55" customHeight="1">
      <c r="A16" s="11" t="inlineStr">
        <is>
          <t>Torrent Power</t>
        </is>
      </c>
      <c r="B16" s="11" t="inlineStr">
        <is>
          <t>Mar-2026</t>
        </is>
      </c>
      <c r="C16" s="11" t="inlineStr">
        <is>
          <t>NCD issuance, 8/9/10-yr tenor</t>
        </is>
      </c>
      <c r="D16" s="11" t="inlineStr">
        <is>
          <t>2,000</t>
        </is>
      </c>
    </row>
    <row r="17" ht="55" customHeight="1">
      <c r="A17" s="11" t="inlineStr">
        <is>
          <t>Torrent Power</t>
        </is>
      </c>
      <c r="B17" s="11" t="inlineStr">
        <is>
          <t>Jun-2026</t>
        </is>
      </c>
      <c r="C17" s="11" t="inlineStr">
        <is>
          <t>NCDs across 4 tranches (3-10yr, coupons 8.10%-8.20%); board also sanctioned up to ₹10,000 cr NCD private placement tied to an ₹80,000 cr 5-yr capex plan</t>
        </is>
      </c>
      <c r="D17" s="11" t="inlineStr">
        <is>
          <t>3,800 (allotted); up to 10,000 (sanctioned)</t>
        </is>
      </c>
    </row>
    <row r="18" ht="55" customHeight="1">
      <c r="A18" s="11" t="inlineStr">
        <is>
          <t>Torrent Power</t>
        </is>
      </c>
      <c r="B18" s="11" t="inlineStr">
        <is>
          <t>Dec-2023 / Feb-2024 / Feb-2025</t>
        </is>
      </c>
      <c r="C18" s="11" t="inlineStr">
        <is>
          <t>CRISIL reaffirmed AA+/Stable (LT) and A1+ (ST) at each review; net debt/EBITDA improved 2.20x (FY24) → 1.40x (FY25)</t>
        </is>
      </c>
      <c r="D18" s="11" t="inlineStr">
        <is>
          <t>—</t>
        </is>
      </c>
    </row>
    <row r="20">
      <c r="A20" s="15" t="inlineStr">
        <is>
          <t>Comments</t>
        </is>
      </c>
    </row>
    <row r="21" ht="100" customHeight="1">
      <c r="A21" s="16" t="inlineStr">
        <is>
          <t>All three companies have been actively de-leveraging and improving credit ratings over the last five years — a sector-wide trend as thermal-generation cash flows normalized post-COVID and renewable capex was increasingly funded with cheaper, longer-tenor debt. Adani Power's improvement is the most dramatic in relative terms (net debt/EBITDA from ~4x to ~1.4x within two years), consistent with its swing from losses to strong profitability. Tata Power funded its FY20 deleveraging via a promoter-only preferential allotment rather than a public offering, keeping the raise off the open market. Torrent Power is notable for having gone ~30 years without a public equity raise before its Dec-2024 QIP — a signal of a more conservative, debt/promoter-funded capital structure historically, now shifting toward institutional equity to fund its large (₹80,000 cr) five-year capex programme.</t>
        </is>
      </c>
    </row>
    <row r="22"/>
    <row r="23"/>
    <row r="24"/>
    <row r="25"/>
    <row r="26"/>
    <row r="27"/>
  </sheetData>
  <mergeCells count="3">
    <mergeCell ref="A1:D1"/>
    <mergeCell ref="A2:D2"/>
    <mergeCell ref="A21:D2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7" t="inlineStr">
        <is>
          <t>11. Share Price Return vs Sectoral &amp; Market Index (weekly, trailing 1-yr to 15-Jul-2026) &amp; Volatility</t>
        </is>
      </c>
    </row>
    <row r="2">
      <c r="A2" s="8" t="inlineStr">
        <is>
          <t>A full 52-point weekly series could not be scripted-fetched in this session (NSE/BSE/Yahoo blocked automated access). Approximate/point data below; full series must be pulled manually — see instructions.</t>
        </is>
      </c>
    </row>
    <row r="3" ht="6" customHeight="1"/>
    <row r="5">
      <c r="A5" s="20" t="inlineStr">
        <is>
          <t>HOW TO COMPLETE THIS SHEET</t>
        </is>
      </c>
    </row>
    <row r="6" ht="90" customHeight="1">
      <c r="A6" s="16" t="inlineStr">
        <is>
          <t>1) Open finance.yahoo.com/quote/ADANIPOWER.NS/history (and TATAPOWER.NS, TORNTPOWER.NS, ^NSEI for Nifty 50, and ^CNXENERGY or niftyindices.com for Nifty Energy as the sector proxy) and set interval to 'Weekly'. 2) Export ~52 weekly closes for each, 16-Jul-2025 to 15-Jul-2026, into the 'Weekly_Price_Data' sheet (hidden — unhide to use). 3) Compute weekly % return = (P_t / P_t-1) - 1 for each series. 4) IMPORTANT: Adani Power did a 1:5 stock split effective 22-Sep-2025 — Yahoo/NSE usually auto-adjust historical prices for splits, but confirm the series is split-adjusted throughout, or your early-period 'returns' will be wildly wrong. 5) Annualized volatility = STDEV(weekly returns) * SQRT(52).</t>
        </is>
      </c>
    </row>
    <row r="7"/>
    <row r="8"/>
    <row r="9"/>
    <row r="11">
      <c r="A11" s="9" t="inlineStr">
        <is>
          <t>Metric</t>
        </is>
      </c>
      <c r="B11" s="9" t="inlineStr">
        <is>
          <t>Adani Power</t>
        </is>
      </c>
      <c r="C11" s="9" t="inlineStr">
        <is>
          <t>Tata Power</t>
        </is>
      </c>
      <c r="D11" s="9" t="inlineStr">
        <is>
          <t>Torrent Power</t>
        </is>
      </c>
      <c r="E11" s="9" t="inlineStr">
        <is>
          <t>Nifty 50</t>
        </is>
      </c>
      <c r="F11" s="9" t="inlineStr">
        <is>
          <t>Sensex</t>
        </is>
      </c>
      <c r="G11" s="9" t="inlineStr">
        <is>
          <t>Nifty Energy (sector proxy)</t>
        </is>
      </c>
    </row>
    <row r="12" ht="45" customHeight="1">
      <c r="A12" s="11" t="inlineStr">
        <is>
          <t>Current price (~15-Jul-2026, ₹)</t>
        </is>
      </c>
      <c r="B12" s="11" t="inlineStr">
        <is>
          <t>221.9-226.2</t>
        </is>
      </c>
      <c r="C12" s="11" t="inlineStr">
        <is>
          <t>365.5-377.7</t>
        </is>
      </c>
      <c r="D12" s="11" t="inlineStr">
        <is>
          <t>1,414.9-1,422.8</t>
        </is>
      </c>
      <c r="E12" s="11" t="inlineStr">
        <is>
          <t>24,052.05 (14-Jul)</t>
        </is>
      </c>
      <c r="F12" s="11" t="inlineStr">
        <is>
          <t>77,054.94 (14-Jul)</t>
        </is>
      </c>
      <c r="G12" s="11" t="inlineStr">
        <is>
          <t>38,695.65 (9-Jul)</t>
        </is>
      </c>
    </row>
    <row r="13" ht="45" customHeight="1">
      <c r="A13" s="11" t="inlineStr">
        <is>
          <t>52-week range (₹ / index pts)</t>
        </is>
      </c>
      <c r="B13" s="11" t="inlineStr">
        <is>
          <t>110.45 - 254.20</t>
        </is>
      </c>
      <c r="C13" s="11" t="inlineStr">
        <is>
          <t>342.50 - 464.90</t>
        </is>
      </c>
      <c r="D13" s="11" t="inlineStr">
        <is>
          <t>1,188.00 - 1,824.10</t>
        </is>
      </c>
      <c r="E13" s="11" t="inlineStr">
        <is>
          <t>22,182.55 - 26,373.20</t>
        </is>
      </c>
      <c r="F13" s="18" t="inlineStr">
        <is>
          <t>n/a - verify</t>
        </is>
      </c>
      <c r="G13" s="11" t="inlineStr">
        <is>
          <t>32,791.85 - 41,097.95</t>
        </is>
      </c>
    </row>
    <row r="14" ht="45" customHeight="1">
      <c r="A14" s="11" t="inlineStr">
        <is>
          <t>Reported 1-yr return (%)</t>
        </is>
      </c>
      <c r="B14" s="11" t="inlineStr">
        <is>
          <t>+78.5% to +100% (source/date-dependent)</t>
        </is>
      </c>
      <c r="C14" s="11" t="inlineStr">
        <is>
          <t>≈ -6.1% to -6.2%</t>
        </is>
      </c>
      <c r="D14" s="18" t="inlineStr">
        <is>
          <t>-3.29% to +5.99% (CONFLICTING — verify)</t>
        </is>
      </c>
      <c r="E14" s="11" t="inlineStr">
        <is>
          <t>≈ -3.75% to -5.8% (compute exact from weekly closes)</t>
        </is>
      </c>
      <c r="F14" s="11" t="inlineStr">
        <is>
          <t>≈ -5.98% to -6.68%</t>
        </is>
      </c>
      <c r="G14" s="11" t="inlineStr">
        <is>
          <t>+14.79% (as of a Mar-2026 snapshot — may have moved)</t>
        </is>
      </c>
    </row>
    <row r="15" ht="45" customHeight="1">
      <c r="A15" s="11" t="inlineStr">
        <is>
          <t>Reported beta (1-yr, vs Nifty/Sensex)</t>
        </is>
      </c>
      <c r="B15" s="11" t="inlineStr">
        <is>
          <t>0.89 - 1.36 (source-dependent)</t>
        </is>
      </c>
      <c r="C15" s="11" t="inlineStr">
        <is>
          <t>0.56 - 1.56 (source-dependent)</t>
        </is>
      </c>
      <c r="D15" s="11" t="inlineStr">
        <is>
          <t>0.99 (NSE) - 1.51 (BSE)</t>
        </is>
      </c>
      <c r="E15" s="11" t="inlineStr">
        <is>
          <t>1.00 (by definition)</t>
        </is>
      </c>
      <c r="F15" s="11" t="inlineStr">
        <is>
          <t>n/a</t>
        </is>
      </c>
      <c r="G15" s="11" t="inlineStr">
        <is>
          <t>n/a</t>
        </is>
      </c>
    </row>
    <row r="16" ht="45" customHeight="1">
      <c r="A16" s="11" t="inlineStr">
        <is>
          <t>Annualized volatility (std dev of weekly returns)</t>
        </is>
      </c>
      <c r="B16" s="18" t="inlineStr">
        <is>
          <t>TO COMPUTE from weekly series</t>
        </is>
      </c>
      <c r="C16" s="18" t="inlineStr">
        <is>
          <t>TO COMPUTE</t>
        </is>
      </c>
      <c r="D16" s="18" t="inlineStr">
        <is>
          <t>TO COMPUTE</t>
        </is>
      </c>
      <c r="E16" s="18" t="inlineStr">
        <is>
          <t>TO COMPUTE</t>
        </is>
      </c>
      <c r="F16" s="18" t="inlineStr">
        <is>
          <t>TO COMPUTE</t>
        </is>
      </c>
      <c r="G16" s="18" t="inlineStr">
        <is>
          <t>TO COMPUTE</t>
        </is>
      </c>
    </row>
    <row r="17" ht="45" customHeight="1">
      <c r="A17" s="11" t="inlineStr">
        <is>
          <t>Current market cap (₹ cr, ~mid-2026)</t>
        </is>
      </c>
      <c r="B17" s="18" t="inlineStr">
        <is>
          <t>~4,36,163 (15-Jul) — one source cited ~4,79,167 for late-May, reconcile</t>
        </is>
      </c>
      <c r="C17" s="11" t="inlineStr">
        <is>
          <t>~1,18,899 - 1,25,754 (range across 2026 snapshots); ~1,20,688 (14-Jul)</t>
        </is>
      </c>
      <c r="D17" s="11" t="inlineStr">
        <is>
          <t>~87,563 (4-May) declining to ~71,524-72,774 (Jun-Jul) — confirm if share-count changed (QIP)</t>
        </is>
      </c>
      <c r="E17" s="11" t="inlineStr">
        <is>
          <t>—</t>
        </is>
      </c>
      <c r="F17" s="11" t="inlineStr">
        <is>
          <t>—</t>
        </is>
      </c>
      <c r="G17" s="11" t="inlineStr">
        <is>
          <t>—</t>
        </is>
      </c>
    </row>
    <row r="19">
      <c r="A19" s="20" t="inlineStr">
        <is>
          <t>Key data-quality flag</t>
        </is>
      </c>
    </row>
    <row r="20" ht="70" customHeight="1">
      <c r="A20" s="16" t="inlineStr">
        <is>
          <t>Adani Power executed a 1-for-5 STOCK SPLIT effective 22-Sep-2025 (face value ₹10→₹2), roughly mid-way through the trailing 1-year window. Any price series/return you compute MUST be split-adjusted, or the 'return' will be distorted by up to 5x for the pre-split portion. Torrent Power paid a ₹15/share interim dividend (record date 16-Feb-2026) — a normal corporate action, not expected to distort total-return comparisons materially if using closing (not total-return-adjusted) prices, but note it if doing a precise total-return calc.</t>
        </is>
      </c>
    </row>
    <row r="21"/>
    <row r="22"/>
    <row r="24">
      <c r="A24" s="15" t="inlineStr">
        <is>
          <t>Comments — which stock is more volatile?</t>
        </is>
      </c>
    </row>
    <row r="25" ht="110" customHeight="1">
      <c r="A25" s="16" t="inlineStr">
        <is>
          <t>Based on the reported beta ranges (all sourced from third-party terminals whose methodologies differ, hence the wide ranges), Tata Power shows the widest beta spread (0.56-1.56) suggesting sensitivity to which methodology/window is used, while Adani Power's range (0.89-1.36) and its 52-week price range (₹110-254, more than doubling) point to it being the most volatile / highest-beta of the three in absolute price-swing terms over the last year — consistent with its very strong (and unusually large) 1-year return. Torrent Power's tighter 52-week range (₹1,188-1,824, ~54% spread) and smaller reported return suggest comparatively lower volatility, though its own beta range (0.99-1.51 across NSE/BSE) still indicates above-market sensitivity. A definitive ranking (by standard deviation of weekly returns) requires the actual weekly price series to be pulled and computed — this sheet is set up with formulas ready in the hidden 'Weekly_Price_Data' sheet for you to paste the real data into.</t>
        </is>
      </c>
    </row>
    <row r="26"/>
    <row r="27"/>
    <row r="28"/>
    <row r="29"/>
    <row r="30"/>
    <row r="31"/>
  </sheetData>
  <mergeCells count="5">
    <mergeCell ref="A1:G1"/>
    <mergeCell ref="A25:G31"/>
    <mergeCell ref="A2:G2"/>
    <mergeCell ref="A6:G9"/>
    <mergeCell ref="A20:G22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t="inlineStr">
        <is>
          <t>Week Ending</t>
        </is>
      </c>
      <c r="B1" t="inlineStr">
        <is>
          <t>Adani Power (split-adj ₹)</t>
        </is>
      </c>
      <c r="C1" t="inlineStr">
        <is>
          <t>Tata Power (₹)</t>
        </is>
      </c>
      <c r="D1" t="inlineStr">
        <is>
          <t>Torrent Power (₹)</t>
        </is>
      </c>
      <c r="E1" t="inlineStr">
        <is>
          <t>Nifty 50</t>
        </is>
      </c>
      <c r="F1" t="inlineStr">
        <is>
          <t>Sensex</t>
        </is>
      </c>
      <c r="G1" t="inlineStr">
        <is>
          <t>Nifty Energy</t>
        </is>
      </c>
      <c r="H1" t="inlineStr">
        <is>
          <t>Adani Power wk return</t>
        </is>
      </c>
      <c r="I1" t="inlineStr">
        <is>
          <t>Tata Power wk return</t>
        </is>
      </c>
      <c r="J1" t="inlineStr">
        <is>
          <t>Torrent Power wk return</t>
        </is>
      </c>
      <c r="K1" t="inlineStr">
        <is>
          <t>Nifty50 wk return</t>
        </is>
      </c>
    </row>
    <row r="2">
      <c r="A2" t="inlineStr">
        <is>
          <t>2025-07-01</t>
        </is>
      </c>
      <c r="E2" t="n">
        <v>25541.8</v>
      </c>
    </row>
    <row r="3">
      <c r="A3" t="inlineStr">
        <is>
          <t>2026-01-02</t>
        </is>
      </c>
      <c r="D3" t="n">
        <v>1399.4</v>
      </c>
      <c r="E3" t="n">
        <v>26328.55</v>
      </c>
    </row>
    <row r="4">
      <c r="A4" t="inlineStr">
        <is>
          <t>2026-01-05</t>
        </is>
      </c>
      <c r="B4" t="n">
        <v>146.2</v>
      </c>
      <c r="E4" t="n">
        <v>26373.2</v>
      </c>
    </row>
    <row r="5">
      <c r="A5" t="inlineStr">
        <is>
          <t>2026-01-09</t>
        </is>
      </c>
      <c r="C5" t="n">
        <v>364.8</v>
      </c>
      <c r="E5" t="n">
        <v>25683.3</v>
      </c>
    </row>
    <row r="6">
      <c r="A6" t="inlineStr">
        <is>
          <t>2026-01-16</t>
        </is>
      </c>
      <c r="E6" t="n">
        <v>25694.35</v>
      </c>
    </row>
    <row r="7">
      <c r="A7" t="inlineStr">
        <is>
          <t>2026-01-23</t>
        </is>
      </c>
      <c r="E7" t="n">
        <v>25048.65</v>
      </c>
    </row>
    <row r="8">
      <c r="A8" t="inlineStr">
        <is>
          <t>2026-01-30</t>
        </is>
      </c>
      <c r="E8" t="n">
        <v>25320.65</v>
      </c>
    </row>
    <row r="9">
      <c r="A9" t="inlineStr">
        <is>
          <t>2026-02-11</t>
        </is>
      </c>
      <c r="D9" t="n">
        <v>1427.5</v>
      </c>
    </row>
    <row r="10">
      <c r="A10" t="inlineStr">
        <is>
          <t>2026-04-28</t>
        </is>
      </c>
      <c r="G10" t="n">
        <v>40990.7</v>
      </c>
    </row>
    <row r="11">
      <c r="A11" t="inlineStr">
        <is>
          <t>2026-05-05</t>
        </is>
      </c>
      <c r="B11" t="n">
        <v>234.35</v>
      </c>
    </row>
    <row r="12">
      <c r="A12" t="inlineStr">
        <is>
          <t>2026-05-22</t>
        </is>
      </c>
      <c r="B12" t="n">
        <v>220</v>
      </c>
    </row>
    <row r="13">
      <c r="A13" t="inlineStr">
        <is>
          <t>2026-06-25</t>
        </is>
      </c>
      <c r="D13" t="n">
        <v>1413.7</v>
      </c>
    </row>
    <row r="14">
      <c r="A14" t="inlineStr">
        <is>
          <t>2026-07-09</t>
        </is>
      </c>
      <c r="B14" t="n">
        <v>224</v>
      </c>
      <c r="C14" t="n">
        <v>373.8</v>
      </c>
      <c r="G14" t="n">
        <v>38695.65</v>
      </c>
    </row>
    <row r="15">
      <c r="A15" t="inlineStr">
        <is>
          <t>2026-07-13</t>
        </is>
      </c>
      <c r="D15" t="n">
        <v>1414.9</v>
      </c>
    </row>
    <row r="16">
      <c r="A16" t="inlineStr">
        <is>
          <t>2026-07-14</t>
        </is>
      </c>
      <c r="C16" t="n">
        <v>377.7</v>
      </c>
      <c r="E16" t="n">
        <v>24052.05</v>
      </c>
      <c r="F16" t="n">
        <v>77054.94</v>
      </c>
    </row>
    <row r="17">
      <c r="A17" t="inlineStr">
        <is>
          <t>2026-07-15</t>
        </is>
      </c>
      <c r="B17" t="n">
        <v>222.05</v>
      </c>
      <c r="C17" t="n">
        <v>365.5</v>
      </c>
      <c r="D17" t="n">
        <v>1422.8</v>
      </c>
    </row>
    <row r="20">
      <c r="A20" t="inlineStr">
        <is>
          <t>NOTE: this is sparse, real, sourced point-data (not a full weekly series) — paste the actual 52-week weekly closes from Yahoo Finance / NSE over columns B:G starting row 2, sorted oldest-to-newest, then columns H:K will need return formulas e.g. =B3/B2-1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30" customWidth="1" min="3" max="3"/>
    <col width="16" customWidth="1" min="4" max="4"/>
  </cols>
  <sheetData>
    <row r="1" ht="24" customHeight="1">
      <c r="A1" s="7" t="inlineStr">
        <is>
          <t>12. Major Announcements — Adani Power (last ~12 months) &amp; Price Reaction</t>
        </is>
      </c>
    </row>
    <row r="2">
      <c r="A2" s="8" t="inlineStr">
        <is>
          <t>Target company only, per assignment. Dates approximate (secondary-source aggregated) — cross-check exact filing dates on BSE corporate announcements page before final submission.</t>
        </is>
      </c>
    </row>
    <row r="3" ht="6" customHeight="1"/>
    <row r="5">
      <c r="A5" s="9" t="inlineStr">
        <is>
          <t>Date (approx.)</t>
        </is>
      </c>
      <c r="B5" s="9" t="inlineStr">
        <is>
          <t>Announcement</t>
        </is>
      </c>
      <c r="C5" s="9" t="inlineStr">
        <is>
          <t>Reported Price Reaction</t>
        </is>
      </c>
      <c r="D5" s="9" t="inlineStr">
        <is>
          <t>Nearest known price (₹)</t>
        </is>
      </c>
    </row>
    <row r="6" ht="45" customHeight="1">
      <c r="A6" s="11" t="inlineStr">
        <is>
          <t>07-Jul-2025</t>
        </is>
      </c>
      <c r="B6" s="11" t="inlineStr">
        <is>
          <t>Completed acquisition of Vidarbha Industries Power Ltd (600 MW) — total capacity to 18,150 MW</t>
        </is>
      </c>
      <c r="C6" s="18" t="inlineStr">
        <is>
          <t>Not quantified in sources found</t>
        </is>
      </c>
      <c r="D6" s="11" t="inlineStr"/>
    </row>
    <row r="7" ht="45" customHeight="1">
      <c r="A7" s="11" t="inlineStr">
        <is>
          <t>01-Aug-2025</t>
        </is>
      </c>
      <c r="B7" s="11" t="inlineStr">
        <is>
          <t>Q1 FY26 results: PAT ₹3,305 cr (down 15.5% YoY); 1:5 stock split announced</t>
        </is>
      </c>
      <c r="C7" s="18" t="inlineStr">
        <is>
          <t>Not quantified</t>
        </is>
      </c>
      <c r="D7" s="11" t="inlineStr"/>
    </row>
    <row r="8" ht="45" customHeight="1">
      <c r="A8" s="11" t="inlineStr">
        <is>
          <t>Sep-2025</t>
        </is>
      </c>
      <c r="B8" s="11" t="inlineStr">
        <is>
          <t>Adani Power–Druk Green (Bhutan) Shareholders Agreement — 570 MW Wangchhu hydro (~₹6,000 cr)</t>
        </is>
      </c>
      <c r="C8" s="18" t="inlineStr">
        <is>
          <t>Not quantified</t>
        </is>
      </c>
      <c r="D8" s="11" t="inlineStr"/>
    </row>
    <row r="9" ht="45" customHeight="1">
      <c r="A9" s="11" t="inlineStr">
        <is>
          <t>22-Sep-2025</t>
        </is>
      </c>
      <c r="B9" s="11" t="inlineStr">
        <is>
          <t>1:5 stock split effective (face value ₹10→₹2)</t>
        </is>
      </c>
      <c r="C9" s="11" t="inlineStr">
        <is>
          <t>Mechanical price adjustment (~1/5th), not a market reaction</t>
        </is>
      </c>
      <c r="D9" s="11" t="inlineStr"/>
    </row>
    <row r="10" ht="45" customHeight="1">
      <c r="A10" s="11" t="inlineStr">
        <is>
          <t>30-Oct-2025</t>
        </is>
      </c>
      <c r="B10" s="11" t="inlineStr">
        <is>
          <t>Q2 FY26 results: PAT ~₹2,906-2,953 cr (down ~11-12% YoY); secured 4.5 GW new long-term PPAs</t>
        </is>
      </c>
      <c r="C10" s="18" t="inlineStr">
        <is>
          <t>Not quantified</t>
        </is>
      </c>
      <c r="D10" s="11" t="inlineStr"/>
    </row>
    <row r="11" ht="45" customHeight="1">
      <c r="A11" s="11" t="inlineStr">
        <is>
          <t>14-Nov-2025</t>
        </is>
      </c>
      <c r="B11" s="11" t="inlineStr">
        <is>
          <t>Letter of Award — 3,200 MW Assam UMPP (~₹48,000 cr investment, DBFOO)</t>
        </is>
      </c>
      <c r="C11" s="11" t="inlineStr">
        <is>
          <t>'Share price surge reported' (source did not quantify %)</t>
        </is>
      </c>
      <c r="D11" s="11" t="inlineStr"/>
    </row>
    <row r="12" ht="45" customHeight="1">
      <c r="A12" s="11" t="inlineStr">
        <is>
          <t>Nov-2025</t>
        </is>
      </c>
      <c r="B12" s="11" t="inlineStr">
        <is>
          <t>24% stake in Jaiprakash Power Ventures via ₹14,535 cr resolution plan — creditors approved (89% votes)</t>
        </is>
      </c>
      <c r="C12" s="11" t="inlineStr">
        <is>
          <t>JP Power (the target) stock jumped ~29% in two days — Adani Power's own reaction not quantified in sources found</t>
        </is>
      </c>
      <c r="D12" s="11" t="inlineStr"/>
    </row>
    <row r="13" ht="45" customHeight="1">
      <c r="A13" s="11" t="inlineStr">
        <is>
          <t>05-Jan-2026</t>
        </is>
      </c>
      <c r="B13" s="11" t="inlineStr">
        <is>
          <t>News coverage: stock up ~40% over trailing 12 months</t>
        </is>
      </c>
      <c r="C13" s="11" t="inlineStr">
        <is>
          <t>+40% (12-mo, as reported that day)</t>
        </is>
      </c>
      <c r="D13" s="11" t="inlineStr">
        <is>
          <t>146.20</t>
        </is>
      </c>
    </row>
    <row r="14" ht="45" customHeight="1">
      <c r="A14" s="11" t="inlineStr">
        <is>
          <t>11-Feb-2026</t>
        </is>
      </c>
      <c r="B14" s="11" t="inlineStr">
        <is>
          <t>Incorporation of Adani Atomic Energy Ltd — entry into nuclear power</t>
        </is>
      </c>
      <c r="C14" s="18" t="inlineStr">
        <is>
          <t>Not quantified</t>
        </is>
      </c>
      <c r="D14" s="11" t="inlineStr"/>
    </row>
    <row r="15" ht="45" customHeight="1">
      <c r="A15" s="11" t="inlineStr">
        <is>
          <t>~Mar-2026</t>
        </is>
      </c>
      <c r="B15" s="11" t="inlineStr">
        <is>
          <t>NCLT approval of Jaiprakash Power Ventures resolution plan</t>
        </is>
      </c>
      <c r="C15" s="18" t="inlineStr">
        <is>
          <t>Not quantified</t>
        </is>
      </c>
      <c r="D15" s="11" t="inlineStr"/>
    </row>
    <row r="16" ht="45" customHeight="1">
      <c r="A16" s="11" t="inlineStr">
        <is>
          <t>29-Apr-2026</t>
        </is>
      </c>
      <c r="B16" s="11" t="inlineStr">
        <is>
          <t>Q4/FY26 results: Q4 PAT ₹4,271 cr (+64% YoY); FY26 PAT ₹12,971 cr vs ₹12,750 cr FY25</t>
        </is>
      </c>
      <c r="C16" s="18" t="inlineStr">
        <is>
          <t>Not quantified</t>
        </is>
      </c>
      <c r="D16" s="11" t="inlineStr"/>
    </row>
    <row r="17" ht="45" customHeight="1">
      <c r="A17" s="11" t="inlineStr">
        <is>
          <t>05-May-2026</t>
        </is>
      </c>
      <c r="B17" s="11" t="inlineStr">
        <is>
          <t>Stock hits 52-week high, intraday</t>
        </is>
      </c>
      <c r="C17" s="11" t="inlineStr">
        <is>
          <t>Record high reached</t>
        </is>
      </c>
      <c r="D17" s="11" t="inlineStr">
        <is>
          <t>234.35</t>
        </is>
      </c>
    </row>
    <row r="18" ht="45" customHeight="1">
      <c r="A18" s="11" t="inlineStr">
        <is>
          <t>22-May-2026</t>
        </is>
      </c>
      <c r="B18" s="11" t="inlineStr">
        <is>
          <t>Profit-booking reported post ~100% 1-year return</t>
        </is>
      </c>
      <c r="C18" s="11" t="inlineStr">
        <is>
          <t>~6% off high; ~100% 1-yr return cited that day</t>
        </is>
      </c>
      <c r="D18" s="11" t="inlineStr">
        <is>
          <t>~220.00</t>
        </is>
      </c>
    </row>
    <row r="19" ht="45" customHeight="1">
      <c r="A19" s="11" t="inlineStr">
        <is>
          <t>13-Jul-2026</t>
        </is>
      </c>
      <c r="B19" s="11" t="inlineStr">
        <is>
          <t>Filing on encumbrance/non-disposal undertaking re: Jaiprakash Power shares (in role as JPVL implementing entity)</t>
        </is>
      </c>
      <c r="C19" s="18" t="inlineStr">
        <is>
          <t>Not quantified</t>
        </is>
      </c>
      <c r="D19" s="11" t="inlineStr"/>
    </row>
    <row r="21">
      <c r="A21" s="20" t="inlineStr">
        <is>
          <t>Note on this section</t>
        </is>
      </c>
    </row>
    <row r="22" ht="90" customHeight="1">
      <c r="A22" s="16" t="inlineStr">
        <is>
          <t>Most individual-announcement price reactions (in %) were NOT disclosed in the secondary news sources found via search — only a few data points (the 40% 12-month move reported 5-Jan-2026, the 52-week high of ₹234.35 on 5-May-2026, and the ~100% 1-yr return cited 22-May-2026) could be tied to a specific date and price. For a proper event-study chart (price in a window around each announcement date), pull the daily closing price for the 5 days before/after each announcement from NSE historical data and compute the % reaction — the chart below plots the sparse real data points we do have as a starting frame; extend it once you have the daily series.</t>
        </is>
      </c>
    </row>
    <row r="23"/>
    <row r="24"/>
    <row r="25"/>
  </sheetData>
  <mergeCells count="3">
    <mergeCell ref="A1:D1"/>
    <mergeCell ref="A22:D25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 Power Price (₹, split-adj)</t>
        </is>
      </c>
      <c r="C1" t="inlineStr">
        <is>
          <t>Event</t>
        </is>
      </c>
    </row>
    <row r="2">
      <c r="A2" t="inlineStr">
        <is>
          <t>2026-01-05</t>
        </is>
      </c>
      <c r="B2" t="n">
        <v>146.2</v>
      </c>
      <c r="C2" t="inlineStr">
        <is>
          <t>12mo +40% reported</t>
        </is>
      </c>
    </row>
    <row r="3">
      <c r="A3" t="inlineStr">
        <is>
          <t>2026-05-05</t>
        </is>
      </c>
      <c r="B3" t="n">
        <v>234.35</v>
      </c>
      <c r="C3" t="inlineStr">
        <is>
          <t>52-wk high (post Assam/JPVL momentum)</t>
        </is>
      </c>
    </row>
    <row r="4">
      <c r="A4" t="inlineStr">
        <is>
          <t>2026-05-22</t>
        </is>
      </c>
      <c r="B4" t="n">
        <v>220</v>
      </c>
      <c r="C4" t="inlineStr">
        <is>
          <t>Profit booking, ~100% 1yr return</t>
        </is>
      </c>
    </row>
    <row r="5">
      <c r="A5" t="inlineStr">
        <is>
          <t>2026-07-09</t>
        </is>
      </c>
      <c r="B5" t="n">
        <v>224</v>
      </c>
      <c r="C5" t="inlineStr">
        <is>
          <t>Current</t>
        </is>
      </c>
    </row>
    <row r="6">
      <c r="A6" t="inlineStr">
        <is>
          <t>2026-07-15</t>
        </is>
      </c>
      <c r="B6" t="n">
        <v>222.05</v>
      </c>
      <c r="C6" t="inlineStr">
        <is>
          <t>Current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 ht="24" customHeight="1">
      <c r="A1" s="7" t="inlineStr">
        <is>
          <t>13. Sources &amp; Data Gaps — READ BEFORE SUBMITTING</t>
        </is>
      </c>
    </row>
    <row r="2">
      <c r="A2" s="8" t="inlineStr"/>
    </row>
    <row r="3" ht="6" customHeight="1"/>
    <row r="5">
      <c r="A5" s="15" t="inlineStr">
        <is>
          <t>Methodology</t>
        </is>
      </c>
    </row>
    <row r="6" ht="115" customHeight="1">
      <c r="A6" s="16" t="inlineStr">
        <is>
          <t>This workbook was built using automated web search (news wires, brokerage research notes, exchange press releases, and secondary financial-data aggregators such as Trendlyne, ScanX, HDFC Sky, Business Standard, BusinessToday, Equitymaster) inside a sandboxed research session. Direct scripted/API access to the PRIMARY sources you were asked to use — screener.in, moneycontrol.com, NSE India (nseindia.com), BSE India (bseindia.com), and the companies' own Annual Report PDFs (adanipower.com, tatapower.com, torrentpower.com) — was blocked (HTTP 403) for automated fetches in this environment. All numbers not otherwise flagged therefore come from search-engine snippets of secondary coverage of those primary sources, not the primary documents themselves. UPDATE: the user subsequently uploaded the actual Integrated Annual Report PDFs for Adani Power (FY24-25, FY25-26), Tata Power (FY24-25, FY25-26) and Torrent Power (FY23-24, FY24-25, FY25-26). Figures for those specific years/companies in Sheets 2, 3 and 5 have been re-extracted directly from the audited financial statements and shareholding tables in those PDFs and are now VERIFIED (noted inline). Everything outside that coverage (FY19-FY23 Total Assets/Employees, market prices, segment tables, weekly price series) remains as before and is still shaded YELLOW.</t>
        </is>
      </c>
    </row>
    <row r="7"/>
    <row r="8"/>
    <row r="9"/>
    <row r="10"/>
    <row r="11"/>
    <row r="13">
      <c r="A13" s="15" t="inlineStr">
        <is>
          <t>Priority list — verify these before submission</t>
        </is>
      </c>
    </row>
    <row r="14" ht="30" customHeight="1">
      <c r="A14" s="16" t="inlineStr">
        <is>
          <t>1. Year-end (31-Mar) share prices, FY19-FY26, all three companies — still not found for any year; pull from NSE historical data or Yahoo Finance (split-adjust Adani Power for its Sep-2025 1:5 split).</t>
        </is>
      </c>
    </row>
    <row r="15" ht="30" customHeight="1">
      <c r="A15" s="16" t="inlineStr">
        <is>
          <t>2. Total Assets, FY19-FY23 (FY24-FY26 now VERIFIED from Annual Reports) — pull remaining years from screener.in balance sheet tab.</t>
        </is>
      </c>
    </row>
    <row r="16" ht="30" customHeight="1">
      <c r="A16" s="16" t="inlineStr">
        <is>
          <t>3. Employee headcount, FY19-FY23 (FY24/FY25/FY26 now VERIFIED, standalone-parent basis only) — group-wide/consolidated headcount (incl. subsidiaries) is still not available for any company/year and would be needed for a true Sales/Employee comparison.</t>
        </is>
      </c>
    </row>
    <row r="17" ht="30" customHeight="1">
      <c r="A17" s="16" t="inlineStr">
        <is>
          <t>4. Segment-wise (Ind AS 108) revenue/assets/profit tables, 5-yr, all three companies — pull from the 'Segment Reporting' note in each Annual Report (the PDFs now in the repo contain this — worth a follow-up extraction pass).</t>
        </is>
      </c>
    </row>
    <row r="18" ht="30" customHeight="1">
      <c r="A18" s="16" t="inlineStr">
        <is>
          <t>5. Full weekly (52-point) price series for all 3 stocks + Nifty 50 + Sensex + Nifty Energy — pull from NSE/Yahoo Finance to compute exact weekly returns and standard deviation (volatility).</t>
        </is>
      </c>
    </row>
    <row r="19" ht="30" customHeight="1">
      <c r="A19" s="16" t="inlineStr">
        <is>
          <t>6. Shareholding pattern — Promoter %, promoter pledge (nil, all 3), and the single largest non-promoter &gt;5% holder are now VERIFIED as at 31-Mar-2026 from the Annual Reports for all three companies (Sheet 5). FII/DII category-level % breakdowns are still secondary-source/unverified — pull the full SHP table from each PDF or BSE/NSE XBRL filing if needed.</t>
        </is>
      </c>
    </row>
    <row r="20" ht="30" customHeight="1">
      <c r="A20" s="16" t="inlineStr">
        <is>
          <t>7. Complete subsidiary/associate/JV lists with exact % holdings — pull the AOC-1 annexure from each company's Annual Report (now in the repo — worth a follow-up extraction pass).</t>
        </is>
      </c>
    </row>
    <row r="21" ht="30" customHeight="1">
      <c r="A21" s="16" t="inlineStr">
        <is>
          <t>8. Investments note (ex subsidiaries/associates/JVs) as at 31-Mar-2023 — pull from each company's Balance Sheet notes.</t>
        </is>
      </c>
    </row>
    <row r="22" ht="30" customHeight="1">
      <c r="A22" s="16" t="inlineStr">
        <is>
          <t>9. Promoter pledge status — now VERIFIED as NIL for all three companies as at FY26 (Sheet 5), from the Annual Reports.</t>
        </is>
      </c>
    </row>
    <row r="23" ht="30" customHeight="1">
      <c r="A23" s="16" t="inlineStr">
        <is>
          <t>10. Exact announcement dates + daily price reaction for Adani Power's major events (Sheet 12) — cross-check against BSE corporate announcements page.</t>
        </is>
      </c>
    </row>
    <row r="25">
      <c r="A25" s="15" t="inlineStr">
        <is>
          <t>Key sources cited across this workbook (non-exhaustive)</t>
        </is>
      </c>
    </row>
    <row r="26">
      <c r="A26" s="16" t="inlineStr">
        <is>
          <t>Business Standard (business-standard.com) — quarterly results coverage, all 3 companies</t>
        </is>
      </c>
    </row>
    <row r="27">
      <c r="A27" s="16" t="inlineStr">
        <is>
          <t>BusinessToday (businesstoday.in) — results, stock-move coverage</t>
        </is>
      </c>
    </row>
    <row r="28">
      <c r="A28" s="16" t="inlineStr">
        <is>
          <t>Equitymaster (equitymaster.com) — annual report analyses (Torrent Power, Tata Power)</t>
        </is>
      </c>
    </row>
    <row r="29">
      <c r="A29" s="16" t="inlineStr">
        <is>
          <t>CRISIL Ratings (crisil.com) — rating rationales for all 3 companies</t>
        </is>
      </c>
    </row>
    <row r="30">
      <c r="A30" s="16" t="inlineStr">
        <is>
          <t>Trendlyne, ScanX, HDFC Sky, Kotak Neo, ICICI Direct, Groww — shareholding, price, beta/volatility snapshots</t>
        </is>
      </c>
    </row>
    <row r="31">
      <c r="A31" s="16" t="inlineStr">
        <is>
          <t>Mercom India, Saurenergy, PV Magazine India — renewable/PPA/project news</t>
        </is>
      </c>
    </row>
    <row r="32">
      <c r="A32" s="16" t="inlineStr">
        <is>
          <t>NSE India, BSE India (nseindia.com, bseindia.com) — REFERENCED but not directly fetchable in this session; primary source for final verification</t>
        </is>
      </c>
    </row>
    <row r="33">
      <c r="A33" s="16" t="inlineStr">
        <is>
          <t>screener.in, moneycontrol.com — REFERENCED but not directly fetchable in this session; primary source for financial-statement data</t>
        </is>
      </c>
    </row>
  </sheetData>
  <mergeCells count="21">
    <mergeCell ref="A30:B30"/>
    <mergeCell ref="A15:B15"/>
    <mergeCell ref="A6:B11"/>
    <mergeCell ref="A1:B1"/>
    <mergeCell ref="A16:B16"/>
    <mergeCell ref="A18:B18"/>
    <mergeCell ref="A27:B27"/>
    <mergeCell ref="A26:B26"/>
    <mergeCell ref="A21:B21"/>
    <mergeCell ref="A2:B2"/>
    <mergeCell ref="A33:B33"/>
    <mergeCell ref="A32:B32"/>
    <mergeCell ref="A14:B14"/>
    <mergeCell ref="A23:B23"/>
    <mergeCell ref="A17:B17"/>
    <mergeCell ref="A22:B22"/>
    <mergeCell ref="A20:B20"/>
    <mergeCell ref="A29:B29"/>
    <mergeCell ref="A19:B19"/>
    <mergeCell ref="A28:B28"/>
    <mergeCell ref="A31:B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2026-07-15T13:34:25Z</dcterms:created>
  <dcterms:modified xsi:type="dcterms:W3CDTF">2026-07-15T13:34:25Z</dcterms:modified>
</cp:coreProperties>
</file>
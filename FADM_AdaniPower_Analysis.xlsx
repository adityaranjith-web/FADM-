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1_Business_Overview" sheetId="3" state="visible" r:id="rId3"/>
    <sheet name="2_Growth_Comparison" sheetId="4" state="visible" r:id="rId4"/>
    <sheet name="2b_Growth_Chart_Data" sheetId="5" state="hidden" r:id="rId5"/>
    <sheet name="3_Sales_per_Asset_Employee" sheetId="6" state="visible" r:id="rId6"/>
    <sheet name="4_Acquisitions" sheetId="7" state="visible" r:id="rId7"/>
    <sheet name="5_Shareholding_Pattern" sheetId="8" state="visible" r:id="rId8"/>
    <sheet name="6_Business_Segments" sheetId="9" state="visible" r:id="rId9"/>
    <sheet name="6b_Segment_Chart_Data" sheetId="10" state="hidden" r:id="rId10"/>
    <sheet name="7_Group_Structure" sheetId="11" state="visible" r:id="rId11"/>
    <sheet name="8_Associates_JVs" sheetId="12" state="visible" r:id="rId12"/>
    <sheet name="9_Investments" sheetId="13" state="visible" r:id="rId13"/>
    <sheet name="10_Financing_Changes" sheetId="14" state="visible" r:id="rId14"/>
    <sheet name="11_Returns_Volatility" sheetId="15" state="visible" r:id="rId15"/>
    <sheet name="Weekly_Price_Data" sheetId="16" state="visible" r:id="rId16"/>
    <sheet name="12_Major_Announcements" sheetId="17" state="visible" r:id="rId17"/>
    <sheet name="12b_Announcement_Chart_Data" sheetId="18" state="hidden" r:id="rId18"/>
    <sheet name="13_Sources_and_Gaps" sheetId="19" state="visible" r:id="rId19"/>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b val="1"/>
      <i val="1"/>
    </font>
    <font>
      <b val="1"/>
      <color rgb="00008000"/>
    </font>
    <font>
      <b val="1"/>
      <color rgb="00008000"/>
      <sz val="12"/>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12" fillId="0" borderId="0" pivotButton="0" quotePrefix="0" xfId="0"/>
    <xf numFmtId="2" fontId="0" fillId="0" borderId="0" pivotButton="0" quotePrefix="0" xfId="0"/>
    <xf numFmtId="0" fontId="0" fillId="2" borderId="1" applyAlignment="1" pivotButton="0" quotePrefix="0" xfId="0">
      <alignment vertical="top" wrapText="1"/>
    </xf>
    <xf numFmtId="0" fontId="5" fillId="0" borderId="0" pivotButton="0" quotePrefix="0" xfId="0"/>
    <xf numFmtId="0" fontId="13" fillId="0" borderId="0" pivotButton="0" quotePrefix="0" xfId="0"/>
    <xf numFmtId="0" fontId="1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harts/chart1.xml><?xml version="1.0" encoding="utf-8"?>
<chartSpace xmlns:a="http://schemas.openxmlformats.org/drawingml/2006/main" xmlns="http://schemas.openxmlformats.org/drawingml/2006/chart">
  <chart>
    <title>
      <tx>
        <rich>
          <a:bodyPr/>
          <a:p>
            <a:pPr>
              <a:defRPr/>
            </a:pPr>
            <a:r>
              <a:t>Revenue / Total Income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'Weekly_Price_Data'!K1</f>
            </strRef>
          </tx>
          <spPr>
            <a:ln>
              <a:prstDash val="solid"/>
            </a:ln>
          </spPr>
          <marker>
            <symbol val="none"/>
            <spPr>
              <a:ln>
                <a:prstDash val="solid"/>
              </a:ln>
            </spPr>
          </marker>
          <cat>
            <numRef>
              <f>'Weekly_Price_Data'!$A$2:$A$55</f>
            </numRef>
          </cat>
          <val>
            <numRef>
              <f>'Weekly_Price_Data'!$K$2:$K$55</f>
            </numRef>
          </val>
        </ser>
        <ser>
          <idx val="1"/>
          <order val="1"/>
          <tx>
            <strRef>
              <f>'Weekly_Price_Data'!L1</f>
            </strRef>
          </tx>
          <spPr>
            <a:ln>
              <a:prstDash val="solid"/>
            </a:ln>
          </spPr>
          <marker>
            <symbol val="none"/>
            <spPr>
              <a:ln>
                <a:prstDash val="solid"/>
              </a:ln>
            </spPr>
          </marker>
          <cat>
            <numRef>
              <f>'Weekly_Price_Data'!$A$2:$A$55</f>
            </numRef>
          </cat>
          <val>
            <numRef>
              <f>'Weekly_Price_Data'!$L$2:$L$55</f>
            </numRef>
          </val>
        </ser>
        <ser>
          <idx val="2"/>
          <order val="2"/>
          <tx>
            <strRef>
              <f>'Weekly_Price_Data'!M1</f>
            </strRef>
          </tx>
          <spPr>
            <a:ln>
              <a:prstDash val="solid"/>
            </a:ln>
          </spPr>
          <marker>
            <symbol val="none"/>
            <spPr>
              <a:ln>
                <a:prstDash val="solid"/>
              </a:ln>
            </spPr>
          </marker>
          <cat>
            <numRef>
              <f>'Weekly_Price_Data'!$A$2:$A$55</f>
            </numRef>
          </cat>
          <val>
            <numRef>
              <f>'Weekly_Price_Data'!$M$2:$M$55</f>
            </numRef>
          </val>
        </ser>
        <ser>
          <idx val="3"/>
          <order val="3"/>
          <tx>
            <strRef>
              <f>'Weekly_Price_Data'!N1</f>
            </strRef>
          </tx>
          <spPr>
            <a:ln>
              <a:prstDash val="solid"/>
            </a:ln>
          </spPr>
          <marker>
            <symbol val="none"/>
            <spPr>
              <a:ln>
                <a:prstDash val="solid"/>
              </a:ln>
            </spPr>
          </marker>
          <cat>
            <numRef>
              <f>'Weekly_Price_Data'!$A$2:$A$55</f>
            </numRef>
          </cat>
          <val>
            <numRef>
              <f>'Weekly_Price_Data'!$N$2:$N$55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'12b_Announcement_Chart_Data'!$A$2:$A$55</f>
            </numRef>
          </cat>
          <val>
            <numRef>
              <f>'12b_Announcement_Chart_Data'!$B$2:$B$55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10" authorId="0" shapeId="0">
      <text>
        <t>Not independently verifiable via web search in this session — pull directly from screener.in / moneycontrol / NSE-BSE filings / the company's Annual Report before final submission.</t>
      </text>
    </comment>
    <comment ref="D10"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3"/>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1. Business Overview &amp; Market</t>
        </is>
      </c>
    </row>
    <row r="13">
      <c r="B13" t="inlineStr">
        <is>
          <t>2. Sales / Asset / Profit / Market-Price Growth (5-yr) — Comparison &amp; Chart</t>
        </is>
      </c>
    </row>
    <row r="14">
      <c r="B14" t="inlineStr">
        <is>
          <t>3. Sales per Rupee of Asset &amp; Sales per Employee</t>
        </is>
      </c>
    </row>
    <row r="15">
      <c r="B15" t="inlineStr">
        <is>
          <t>4. Business Acquisitions &amp; Post-Acquisition Impact</t>
        </is>
      </c>
    </row>
    <row r="16">
      <c r="B16" t="inlineStr">
        <is>
          <t>5. Shareholding Pattern (Promoters, FII, DII/MF, Pledge, Free Float)</t>
        </is>
      </c>
    </row>
    <row r="17">
      <c r="B17" t="inlineStr">
        <is>
          <t>6. Reportable Business Segments — 5-yr Trend &amp; Comparison</t>
        </is>
      </c>
    </row>
    <row r="18">
      <c r="B18" t="inlineStr">
        <is>
          <t>7. Group Structure — Subsidiaries</t>
        </is>
      </c>
    </row>
    <row r="19">
      <c r="B19" t="inlineStr">
        <is>
          <t>8. Associates &amp; Joint Ventures</t>
        </is>
      </c>
    </row>
    <row r="20">
      <c r="B20" t="inlineStr">
        <is>
          <t>9. Other Investments (ex subs/associates/JVs) up to FY23</t>
        </is>
      </c>
    </row>
    <row r="21">
      <c r="B21" t="inlineStr">
        <is>
          <t>10. Major Changes in Financing (5-yr)</t>
        </is>
      </c>
    </row>
    <row r="22">
      <c r="B22" t="inlineStr">
        <is>
          <t>11. Share Price Return vs Sectoral &amp; Market Index (weekly, 1-yr) &amp; Volatility</t>
        </is>
      </c>
    </row>
    <row r="23">
      <c r="B23" t="inlineStr">
        <is>
          <t>12. Major Announcements (last 1 year) &amp; Price Reaction — Chart</t>
        </is>
      </c>
    </row>
    <row r="24">
      <c r="B24"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5" t="inlineStr">
        <is>
          <t>Positioning</t>
        </is>
      </c>
      <c r="B6" s="16" t="inlineStr">
        <is>
          <t>India's largest PRIVATE thermal (base-load) power producer; part of the Adani Group.</t>
        </is>
      </c>
      <c r="C6" s="16" t="inlineStr">
        <is>
          <t>India's largest vertically integrated power company (generation + transmission + distribution).</t>
        </is>
      </c>
      <c r="D6" s="16" t="inlineStr">
        <is>
          <t>Leading integrated power utility; part of Torrent Group (also pharma &amp; city-gas distribution).</t>
        </is>
      </c>
    </row>
    <row r="7" ht="60" customHeight="1">
      <c r="A7" s="15" t="inlineStr">
        <is>
          <t>Core products/services</t>
        </is>
      </c>
      <c r="B7" s="16" t="inlineStr">
        <is>
          <t>Thermal power generation (subcritical to ultra-supercritical); sold via long-term &amp; short-term PPAs and merchant sales on power exchanges.</t>
        </is>
      </c>
      <c r="C7" s="16" t="inlineStr">
        <is>
          <t>Generation (thermal+hydro), Transmission, Distribution (regulated discoms); shifting toward 100% renewable generation; new-age products (solar rooftop, EV charging).</t>
        </is>
      </c>
      <c r="D7" s="16" t="inlineStr">
        <is>
          <t>Generation (gas, coal, solar, wind), Transmission (~1,340 ckm HV lines), Distribution (licensed + franchise).</t>
        </is>
      </c>
    </row>
    <row r="8" ht="60" customHeight="1">
      <c r="A8" s="15" t="inlineStr">
        <is>
          <t>Market / geographic footprint</t>
        </is>
      </c>
      <c r="B8" s="16" t="inlineStr">
        <is>
          <t>12 plants across 8 states (Gujarat, Maharashtra, Karnataka, Rajasthan, Chhattisgarh, MP, Jharkhand, Tamil Nadu); ~7.3% of India's coal-based generation capacity; exports power to Bangladesh via Godda plant.</t>
        </is>
      </c>
      <c r="C8" s="16" t="inlineStr">
        <is>
          <t>Pan-India: Mumbai &amp; Delhi discoms, 4 Odisha discoms, Ajmer discom; ~12.6 million distribution customers; renewable assets nationwide; expanding into Bhutan hydro &amp; nuclear.</t>
        </is>
      </c>
      <c r="D8" s="16" t="inlineStr">
        <is>
          <t>Gujarat (Ahmedabad, Surat, Dahej), Dadra &amp; Nagar Haveli/Daman &amp; Diu, franchise areas Agra (UP) &amp; Bhiwandi (Maharashtra); ~4.3 million customers p.a.</t>
        </is>
      </c>
    </row>
    <row r="9" ht="60" customHeight="1">
      <c r="A9" s="15" t="inlineStr">
        <is>
          <t>Installed capacity (approx., 2025-26)</t>
        </is>
      </c>
      <c r="B9" s="16" t="inlineStr">
        <is>
          <t>~18,150 MW (post Vidarbha acquisition, Jul 2025), all thermal.</t>
        </is>
      </c>
      <c r="C9" s="16" t="inlineStr">
        <is>
          <t>~11.6 GW renewable identified/under TPREL alone + thermal (Mundra 4 GW+) + hydro + distribution licenses covering 12.6mn customers.</t>
        </is>
      </c>
      <c r="D9" s="16" t="inlineStr">
        <is>
          <t>~2,730 MW gas + 362 MW coal + ~663 MW solar + ~1,220 MW wind (as of FY23/Jan-24 disclosures); Nabha Power (2x700MW coal) added June 2026.</t>
        </is>
      </c>
    </row>
    <row r="10" ht="60" customHeight="1">
      <c r="A10" s="15" t="inlineStr">
        <is>
          <t>Strategic direction</t>
        </is>
      </c>
      <c r="B10" s="16" t="inlineStr">
        <is>
          <t>Capacity expansion via IBC/CIRP acquisitions (Mahan, Korba, Moxie, Vidarbha, JPVL); new Assam UMPP (3,200 MW, ~₹48,000 cr); entry into nuclear power (Adani Atomic Energy Ltd, Feb 2026); Bhutan hydro JV with Druk Green.</t>
        </is>
      </c>
      <c r="C10" s="16" t="inlineStr">
        <is>
          <t>Targeting ₹1 lakh crore revenue &amp; ₹10,000 cr PAT by 2030; nuclear, battery storage, solar manufacturing (Odisha); pumped hydro storage (Bhivpuri, Shirawta); Bhutan hydro portfolio (5,033 MW identified).</t>
        </is>
      </c>
      <c r="D10" s="16"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(FY22-FY26, last 5 years)</t>
        </is>
      </c>
    </row>
    <row r="2">
      <c r="A2" s="8" t="inlineStr">
        <is>
          <t>₹ crore, Consolidated. All columns VERIFIED from the audited Annual Reports in the repo. Yellow = still needs data.</t>
        </is>
      </c>
    </row>
    <row r="3" ht="6" customHeight="1"/>
    <row r="5">
      <c r="A5" s="10" t="inlineStr">
        <is>
          <t>Company / Metric</t>
        </is>
      </c>
      <c r="B5" s="10" t="inlineStr">
        <is>
          <t>FY22</t>
        </is>
      </c>
      <c r="C5" s="10" t="inlineStr">
        <is>
          <t>FY23</t>
        </is>
      </c>
      <c r="D5" s="10" t="inlineStr">
        <is>
          <t>FY24</t>
        </is>
      </c>
      <c r="E5" s="10" t="inlineStr">
        <is>
          <t>FY25</t>
        </is>
      </c>
      <c r="F5" s="10" t="inlineStr">
        <is>
          <t>FY26</t>
        </is>
      </c>
      <c r="G5" s="10" t="inlineStr">
        <is>
          <t>4-yr CAGR</t>
        </is>
      </c>
    </row>
    <row r="7">
      <c r="A7" s="2" t="inlineStr">
        <is>
          <t>Adani Power — Revenue / Total Income (₹ cr)</t>
        </is>
      </c>
      <c r="B7" t="n">
        <v>31686.47</v>
      </c>
      <c r="C7" t="n">
        <v>43040.52</v>
      </c>
      <c r="D7" t="n">
        <v>60281.48</v>
      </c>
      <c r="E7" t="n">
        <v>58905.83</v>
      </c>
      <c r="F7" t="n">
        <v>57865.28</v>
      </c>
      <c r="G7" s="17">
        <f>IFERROR(IF(OR(B7="N/A",F7="N/A"),"N/A",(F7/B7)^(1/4)-1),"N/A")</f>
        <v/>
      </c>
    </row>
    <row r="8">
      <c r="A8" s="2" t="inlineStr">
        <is>
          <t>Adani Power — Net Profit / PAT (₹ cr)</t>
        </is>
      </c>
      <c r="B8" t="n">
        <v>4911.58</v>
      </c>
      <c r="C8" t="n">
        <v>10726.64</v>
      </c>
      <c r="D8" t="n">
        <v>20828.79</v>
      </c>
      <c r="E8" t="n">
        <v>12749.61</v>
      </c>
      <c r="F8" t="n">
        <v>12971.08</v>
      </c>
      <c r="G8" s="17">
        <f>IFERROR(IF(OR(B8="N/A",F8="N/A"),"N/A",(F8/B8)^(1/4)-1),"N/A")</f>
        <v/>
      </c>
    </row>
    <row r="9">
      <c r="A9" s="2" t="inlineStr">
        <is>
          <t>Adani Power — Total Assets (₹ cr)</t>
        </is>
      </c>
      <c r="B9" t="n">
        <v>81981.02</v>
      </c>
      <c r="C9" t="n">
        <v>85821.27</v>
      </c>
      <c r="D9" t="n">
        <v>92324.77</v>
      </c>
      <c r="E9" t="n">
        <v>112917.57</v>
      </c>
      <c r="F9" t="n">
        <v>142279.92</v>
      </c>
      <c r="G9" s="17">
        <f>IFERROR(IF(OR(B9="N/A",F9="N/A"),"N/A",(F9/B9)^(1/4)-1),"N/A")</f>
        <v/>
      </c>
    </row>
    <row r="10">
      <c r="A10" s="2" t="inlineStr">
        <is>
          <t>Adani Power — Employees (#)</t>
        </is>
      </c>
      <c r="B10" s="3" t="inlineStr">
        <is>
          <t>N/A</t>
        </is>
      </c>
      <c r="C10" t="n">
        <v>2805</v>
      </c>
      <c r="D10" s="3" t="inlineStr">
        <is>
          <t>N/A</t>
        </is>
      </c>
      <c r="E10" t="n">
        <v>4210</v>
      </c>
      <c r="F10" t="n">
        <v>3967</v>
      </c>
      <c r="G10" s="17">
        <f>IFERROR(IF(OR(B10="N/A",F10="N/A"),"N/A",(F10/B10)^(1/4)-1),"N/A")</f>
        <v/>
      </c>
    </row>
    <row r="11" ht="40" customHeight="1">
      <c r="A11" s="12" t="inlineStr">
        <is>
          <t>All figures VERIFIED from Adani Power's audited Integrated Annual Reports (consolidated). Employees = STANDALONE permanent employees on Company rolls; FY22 and FY24 counts not disclosed in the reports available (the FY21-22 Annual Report is not in the repo). FY24 PAT (₹20,829cr) was inflated by one-off other income (₹9,781cr incl. prior-period revenue recognition) vs FY25's normalised ₹12,750cr.</t>
        </is>
      </c>
    </row>
    <row r="13">
      <c r="A13" s="2" t="inlineStr">
        <is>
          <t>Tata Power — Revenue / Total Income (₹ cr)</t>
        </is>
      </c>
      <c r="B13" t="n">
        <v>42576</v>
      </c>
      <c r="C13" t="n">
        <v>56033</v>
      </c>
      <c r="D13" t="n">
        <v>63272.32</v>
      </c>
      <c r="E13" t="n">
        <v>66992.17</v>
      </c>
      <c r="F13" t="n">
        <v>64171.66</v>
      </c>
      <c r="G13" s="17">
        <f>IFERROR(IF(OR(B13="N/A",F13="N/A"),"N/A",(F13/B13)^(1/4)-1),"N/A")</f>
        <v/>
      </c>
    </row>
    <row r="14">
      <c r="A14" s="2" t="inlineStr">
        <is>
          <t>Tata Power — Net Profit / PAT (₹ cr)</t>
        </is>
      </c>
      <c r="B14" t="n">
        <v>2156</v>
      </c>
      <c r="C14" t="n">
        <v>3810</v>
      </c>
      <c r="D14" t="n">
        <v>4280</v>
      </c>
      <c r="E14" t="n">
        <v>4775</v>
      </c>
      <c r="F14" t="n">
        <v>5118</v>
      </c>
      <c r="G14" s="17">
        <f>IFERROR(IF(OR(B14="N/A",F14="N/A"),"N/A",(F14/B14)^(1/4)-1),"N/A")</f>
        <v/>
      </c>
    </row>
    <row r="15">
      <c r="A15" s="2" t="inlineStr">
        <is>
          <t>Tata Power — Total Assets (₹ cr)</t>
        </is>
      </c>
      <c r="B15" t="n">
        <v>112884.59</v>
      </c>
      <c r="C15" t="n">
        <v>128349.04</v>
      </c>
      <c r="D15" t="n">
        <v>139553.49</v>
      </c>
      <c r="E15" t="n">
        <v>156711.29</v>
      </c>
      <c r="F15" t="n">
        <v>175171.78</v>
      </c>
      <c r="G15" s="17">
        <f>IFERROR(IF(OR(B15="N/A",F15="N/A"),"N/A",(F15/B15)^(1/4)-1),"N/A")</f>
        <v/>
      </c>
    </row>
    <row r="16">
      <c r="A16" s="2" t="inlineStr">
        <is>
          <t>Tata Power — Employees (#)</t>
        </is>
      </c>
      <c r="B16" t="n">
        <v>2815</v>
      </c>
      <c r="C16" t="n">
        <v>3071</v>
      </c>
      <c r="D16" s="3" t="inlineStr">
        <is>
          <t>N/A</t>
        </is>
      </c>
      <c r="E16" t="n">
        <v>3130</v>
      </c>
      <c r="F16" t="n">
        <v>3295</v>
      </c>
      <c r="G16" s="17">
        <f>IFERROR(IF(OR(B16="N/A",F16="N/A"),"N/A",(F16/B16)^(1/4)-1),"N/A")</f>
        <v/>
      </c>
    </row>
    <row r="17" ht="40" customHeight="1">
      <c r="A17" s="12" t="inlineStr">
        <is>
          <t>All figures VERIFIED from Tata Power's Integrated Annual Reports (consolidated, reported basis). Revenue FY22-23 (42,576/56,033) is the company's own highlights-basis series incl. regulatory income; as-reported P&amp;L 'Revenue from Operations' is slightly lower (42,816/55,109). Employees = STANDALONE parent only (~2,800-3,300) — most of the group workforce sits in subsidiaries (TPREL, discoms), so do not compare with consolidated revenue.</t>
        </is>
      </c>
    </row>
    <row r="19">
      <c r="A19" s="2" t="inlineStr">
        <is>
          <t>Torrent Power — Revenue / Total Income (₹ cr)</t>
        </is>
      </c>
      <c r="B19" t="n">
        <v>14492.65</v>
      </c>
      <c r="C19" t="n">
        <v>26075.97</v>
      </c>
      <c r="D19" t="n">
        <v>27527.53</v>
      </c>
      <c r="E19" t="n">
        <v>29652.47</v>
      </c>
      <c r="F19" t="n">
        <v>29288.92</v>
      </c>
      <c r="G19" s="17">
        <f>IFERROR(IF(OR(B19="N/A",F19="N/A"),"N/A",(F19/B19)^(1/4)-1),"N/A")</f>
        <v/>
      </c>
    </row>
    <row r="20">
      <c r="A20" s="2" t="inlineStr">
        <is>
          <t>Torrent Power — Net Profit / PAT (₹ cr)</t>
        </is>
      </c>
      <c r="B20" t="n">
        <v>458.7</v>
      </c>
      <c r="C20" t="n">
        <v>2164.67</v>
      </c>
      <c r="D20" t="n">
        <v>1896</v>
      </c>
      <c r="E20" t="n">
        <v>3058.61</v>
      </c>
      <c r="F20" t="n">
        <v>2469.36</v>
      </c>
      <c r="G20" s="17">
        <f>IFERROR(IF(OR(B20="N/A",F20="N/A"),"N/A",(F20/B20)^(1/4)-1),"N/A")</f>
        <v/>
      </c>
    </row>
    <row r="21">
      <c r="A21" s="2" t="inlineStr">
        <is>
          <t>Torrent Power — Total Assets (₹ cr)</t>
        </is>
      </c>
      <c r="B21" t="n">
        <v>25022.7</v>
      </c>
      <c r="C21" t="n">
        <v>29910.18</v>
      </c>
      <c r="D21" t="n">
        <v>33392.48</v>
      </c>
      <c r="E21" t="n">
        <v>36573.38</v>
      </c>
      <c r="F21" t="n">
        <v>45193.28</v>
      </c>
      <c r="G21" s="17">
        <f>IFERROR(IF(OR(B21="N/A",F21="N/A"),"N/A",(F21/B21)^(1/4)-1),"N/A")</f>
        <v/>
      </c>
    </row>
    <row r="22">
      <c r="A22" s="2" t="inlineStr">
        <is>
          <t>Torrent Power — Employees (#)</t>
        </is>
      </c>
      <c r="B22" t="n">
        <v>7603</v>
      </c>
      <c r="C22" t="n">
        <v>6992</v>
      </c>
      <c r="D22" t="n">
        <v>6987</v>
      </c>
      <c r="E22" t="n">
        <v>7213</v>
      </c>
      <c r="F22" t="n">
        <v>6687</v>
      </c>
      <c r="G22" s="17">
        <f>IFERROR(IF(OR(B22="N/A",F22="N/A"),"N/A",(F22/B22)^(1/4)-1),"N/A")</f>
        <v/>
      </c>
    </row>
    <row r="23" ht="40" customHeight="1">
      <c r="A23" s="12" t="inlineStr">
        <is>
          <t>All figures VERIFIED from Torrent Power's Integrated Annual Reports (consolidated). FY22 PAT (₹458.70cr) was depressed by a ~₹1,300cr DGEN plant impairment — treat FY22-base growth rates with care. Employees = standalone permanent employees on Company rolls (Rule 5(1) disclosure) — Torrent runs most operations in the parent entity, so this series is closer to a true group headcount than Adani/Tata's standalone counts.</t>
        </is>
      </c>
    </row>
    <row r="25">
      <c r="A25" s="18"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row>
    <row r="30">
      <c r="A30" s="9" t="inlineStr">
        <is>
          <t>Comments</t>
        </is>
      </c>
    </row>
    <row r="31" ht="100" customHeight="1">
      <c r="A31" s="14" t="inlineStr">
        <is>
          <t>SALES GROWTH (FY22→FY26): Adani Power grew revenue ~83% (₹31,686cr → ₹57,865cr, ~16% CAGR), driven by IBC acquisitions (Mahan, Korba) and tariff/prior-period recoveries in FY23-FY24, before plateauing in FY25-FY26. Torrent Power doubled revenue (₹14,493cr → ₹29,289cr, ~19% CAGR) with the single biggest step in FY23 (+80%) from the DNH&amp;DD discom takeover and merchant gas sales. Tata Power grew ~51% (₹42,576cr → ₹64,172cr, ~11% CAGR). PROFIT GROWTH: Adani Power PAT rose from ₹4,912cr to ₹12,971cr (~27% CAGR); FY24's ₹20,829cr spike was one-off-boosted and FY25/FY26 is the cleaner run-rate. Tata Power compounded PAT steadily every single year (₹2,156cr → ₹5,118cr, ~24% CAGR) — the most consistent grower. Torrent is profitable but lumpy: FY22 was impairment-depressed (₹459cr), rebounding to ₹2,165-3,059cr, easing to ₹2,469cr in FY26. ASSETS GROWTH: Adani Power's asset base grew ~74% (₹81,981cr → ₹1,42,280cr), accelerating sharply after FY24 as acquisitions and new capacity landed. Tata Power grew ~55% to ₹1,75,172cr — the largest absolute base. Torrent grew ~81% (₹25,023cr → ₹45,193cr; Nabha Power + capex cycle) — the fastest in relative terms. MARKET PRICE: year-end share-price rows still need NSE/Yahoo historical data (yellow) to complete the fourth lens.</t>
        </is>
      </c>
    </row>
    <row r="32"/>
    <row r="33"/>
    <row r="34"/>
    <row r="35"/>
  </sheetData>
  <mergeCells count="6">
    <mergeCell ref="A1:G1"/>
    <mergeCell ref="A17:G17"/>
    <mergeCell ref="A31:G35"/>
    <mergeCell ref="A2:G2"/>
    <mergeCell ref="A11:G11"/>
    <mergeCell ref="A23:G23"/>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31686.47</v>
      </c>
      <c r="C2" t="n">
        <v>42576</v>
      </c>
      <c r="D2" t="n">
        <v>14492.65</v>
      </c>
    </row>
    <row r="3">
      <c r="A3" t="inlineStr">
        <is>
          <t>FY23</t>
        </is>
      </c>
      <c r="B3" t="n">
        <v>43040.52</v>
      </c>
      <c r="C3" t="n">
        <v>56033</v>
      </c>
      <c r="D3" t="n">
        <v>26075.97</v>
      </c>
    </row>
    <row r="4">
      <c r="A4" t="inlineStr">
        <is>
          <t>FY24</t>
        </is>
      </c>
      <c r="B4" t="n">
        <v>60281.48</v>
      </c>
      <c r="C4" t="n">
        <v>63272.32</v>
      </c>
      <c r="D4" t="n">
        <v>27527.53</v>
      </c>
    </row>
    <row r="5">
      <c r="A5" t="inlineStr">
        <is>
          <t>FY25</t>
        </is>
      </c>
      <c r="B5" t="n">
        <v>58905.83</v>
      </c>
      <c r="C5" t="n">
        <v>66992.17</v>
      </c>
      <c r="D5" t="n">
        <v>29652.47</v>
      </c>
    </row>
    <row r="6">
      <c r="A6" t="inlineStr">
        <is>
          <t>FY26</t>
        </is>
      </c>
      <c r="B6" t="n">
        <v>57865.28</v>
      </c>
      <c r="C6" t="n">
        <v>64171.66</v>
      </c>
      <c r="D6" t="n">
        <v>29288.92</v>
      </c>
    </row>
    <row r="8">
      <c r="A8" t="inlineStr">
        <is>
          <t>Year</t>
        </is>
      </c>
      <c r="B8" t="inlineStr">
        <is>
          <t>Adani Power PAT</t>
        </is>
      </c>
      <c r="C8" t="inlineStr">
        <is>
          <t>Tata Power PAT</t>
        </is>
      </c>
      <c r="D8" t="inlineStr">
        <is>
          <t>Torrent Power PAT</t>
        </is>
      </c>
    </row>
    <row r="9">
      <c r="A9" t="inlineStr">
        <is>
          <t>FY22</t>
        </is>
      </c>
      <c r="B9" t="n">
        <v>4911.58</v>
      </c>
      <c r="C9" t="n">
        <v>2156</v>
      </c>
      <c r="D9" t="n">
        <v>458.7</v>
      </c>
    </row>
    <row r="10">
      <c r="A10" t="inlineStr">
        <is>
          <t>FY23</t>
        </is>
      </c>
      <c r="B10" t="n">
        <v>10726.64</v>
      </c>
      <c r="C10" t="n">
        <v>3810</v>
      </c>
      <c r="D10" t="n">
        <v>2164.67</v>
      </c>
    </row>
    <row r="11">
      <c r="A11" t="inlineStr">
        <is>
          <t>FY24</t>
        </is>
      </c>
      <c r="B11" t="n">
        <v>20828.79</v>
      </c>
      <c r="C11" t="n">
        <v>4280</v>
      </c>
      <c r="D11" t="n">
        <v>1896</v>
      </c>
    </row>
    <row r="12">
      <c r="A12" t="inlineStr">
        <is>
          <t>FY25</t>
        </is>
      </c>
      <c r="B12" t="n">
        <v>12749.61</v>
      </c>
      <c r="C12" t="n">
        <v>4775</v>
      </c>
      <c r="D12" t="n">
        <v>3058.61</v>
      </c>
    </row>
    <row r="13">
      <c r="A13" t="inlineStr">
        <is>
          <t>FY26</t>
        </is>
      </c>
      <c r="B13" t="n">
        <v>12971.08</v>
      </c>
      <c r="C13" t="n">
        <v>5118</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Sales per Rupee of Asset Deployed &amp; Sales per Employee (FY22-FY26)</t>
        </is>
      </c>
    </row>
    <row r="2">
      <c r="A2" s="8" t="inlineStr">
        <is>
          <t>Sales per ₹ of asset = Revenue / Total Assets (x). Sales per employee = Revenue (₹ cr) / Employees, shown in ₹ lakh/employee.</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 t="inlineStr">
        <is>
          <t>Adani Power — Sales / Total Assets (x)</t>
        </is>
      </c>
      <c r="B7" s="19">
        <f>IFERROR(IF(OR(ISTEXT('2_Growth_Comparison'!B7),ISTEXT('2_Growth_Comparison'!B9)),"N/A",'2_Growth_Comparison'!B7/'2_Growth_Comparison'!B9),"N/A")</f>
        <v/>
      </c>
      <c r="C7" s="19">
        <f>IFERROR(IF(OR(ISTEXT('2_Growth_Comparison'!C7),ISTEXT('2_Growth_Comparison'!C9)),"N/A",'2_Growth_Comparison'!C7/'2_Growth_Comparison'!C9),"N/A")</f>
        <v/>
      </c>
      <c r="D7" s="19">
        <f>IFERROR(IF(OR(ISTEXT('2_Growth_Comparison'!D7),ISTEXT('2_Growth_Comparison'!D9)),"N/A",'2_Growth_Comparison'!D7/'2_Growth_Comparison'!D9),"N/A")</f>
        <v/>
      </c>
      <c r="E7" s="19">
        <f>IFERROR(IF(OR(ISTEXT('2_Growth_Comparison'!E7),ISTEXT('2_Growth_Comparison'!E9)),"N/A",'2_Growth_Comparison'!E7/'2_Growth_Comparison'!E9),"N/A")</f>
        <v/>
      </c>
      <c r="F7" s="19">
        <f>IFERROR(IF(OR(ISTEXT('2_Growth_Comparison'!F7),ISTEXT('2_Growth_Comparison'!F9)),"N/A",'2_Growth_Comparison'!F7/'2_Growth_Comparison'!F9),"N/A")</f>
        <v/>
      </c>
    </row>
    <row r="8">
      <c r="A8" s="2" t="inlineStr">
        <is>
          <t>Adani Power — Sales / Employee (₹ lakh)</t>
        </is>
      </c>
      <c r="B8" s="19">
        <f>IFERROR(IF(OR(ISTEXT('2_Growth_Comparison'!B7),ISTEXT('2_Growth_Comparison'!B10)),"N/A",'2_Growth_Comparison'!B7*100/'2_Growth_Comparison'!B10),"N/A")</f>
        <v/>
      </c>
      <c r="C8" s="19">
        <f>IFERROR(IF(OR(ISTEXT('2_Growth_Comparison'!C7),ISTEXT('2_Growth_Comparison'!C10)),"N/A",'2_Growth_Comparison'!C7*100/'2_Growth_Comparison'!C10),"N/A")</f>
        <v/>
      </c>
      <c r="D8" s="19">
        <f>IFERROR(IF(OR(ISTEXT('2_Growth_Comparison'!D7),ISTEXT('2_Growth_Comparison'!D10)),"N/A",'2_Growth_Comparison'!D7*100/'2_Growth_Comparison'!D10),"N/A")</f>
        <v/>
      </c>
      <c r="E8" s="19">
        <f>IFERROR(IF(OR(ISTEXT('2_Growth_Comparison'!E7),ISTEXT('2_Growth_Comparison'!E10)),"N/A",'2_Growth_Comparison'!E7*100/'2_Growth_Comparison'!E10),"N/A")</f>
        <v/>
      </c>
      <c r="F8" s="19">
        <f>IFERROR(IF(OR(ISTEXT('2_Growth_Comparison'!F7),ISTEXT('2_Growth_Comparison'!F10)),"N/A",'2_Growth_Comparison'!F7*100/'2_Growth_Comparison'!F10),"N/A")</f>
        <v/>
      </c>
    </row>
    <row r="10">
      <c r="A10" s="2" t="inlineStr">
        <is>
          <t>Tata Power — Sales / Total Assets (x)</t>
        </is>
      </c>
      <c r="B10" s="19">
        <f>IFERROR(IF(OR(ISTEXT('2_Growth_Comparison'!B13),ISTEXT('2_Growth_Comparison'!B15)),"N/A",'2_Growth_Comparison'!B13/'2_Growth_Comparison'!B15),"N/A")</f>
        <v/>
      </c>
      <c r="C10" s="19">
        <f>IFERROR(IF(OR(ISTEXT('2_Growth_Comparison'!C13),ISTEXT('2_Growth_Comparison'!C15)),"N/A",'2_Growth_Comparison'!C13/'2_Growth_Comparison'!C15),"N/A")</f>
        <v/>
      </c>
      <c r="D10" s="19">
        <f>IFERROR(IF(OR(ISTEXT('2_Growth_Comparison'!D13),ISTEXT('2_Growth_Comparison'!D15)),"N/A",'2_Growth_Comparison'!D13/'2_Growth_Comparison'!D15),"N/A")</f>
        <v/>
      </c>
      <c r="E10" s="19">
        <f>IFERROR(IF(OR(ISTEXT('2_Growth_Comparison'!E13),ISTEXT('2_Growth_Comparison'!E15)),"N/A",'2_Growth_Comparison'!E13/'2_Growth_Comparison'!E15),"N/A")</f>
        <v/>
      </c>
      <c r="F10" s="19">
        <f>IFERROR(IF(OR(ISTEXT('2_Growth_Comparison'!F13),ISTEXT('2_Growth_Comparison'!F15)),"N/A",'2_Growth_Comparison'!F13/'2_Growth_Comparison'!F15),"N/A")</f>
        <v/>
      </c>
    </row>
    <row r="11">
      <c r="A11" s="2" t="inlineStr">
        <is>
          <t>Tata Power — Sales / Employee (₹ lakh)</t>
        </is>
      </c>
      <c r="B11" s="19">
        <f>IFERROR(IF(OR(ISTEXT('2_Growth_Comparison'!B13),ISTEXT('2_Growth_Comparison'!B16)),"N/A",'2_Growth_Comparison'!B13*100/'2_Growth_Comparison'!B16),"N/A")</f>
        <v/>
      </c>
      <c r="C11" s="19">
        <f>IFERROR(IF(OR(ISTEXT('2_Growth_Comparison'!C13),ISTEXT('2_Growth_Comparison'!C16)),"N/A",'2_Growth_Comparison'!C13*100/'2_Growth_Comparison'!C16),"N/A")</f>
        <v/>
      </c>
      <c r="D11" s="19">
        <f>IFERROR(IF(OR(ISTEXT('2_Growth_Comparison'!D13),ISTEXT('2_Growth_Comparison'!D16)),"N/A",'2_Growth_Comparison'!D13*100/'2_Growth_Comparison'!D16),"N/A")</f>
        <v/>
      </c>
      <c r="E11" s="19">
        <f>IFERROR(IF(OR(ISTEXT('2_Growth_Comparison'!E13),ISTEXT('2_Growth_Comparison'!E16)),"N/A",'2_Growth_Comparison'!E13*100/'2_Growth_Comparison'!E16),"N/A")</f>
        <v/>
      </c>
      <c r="F11" s="19">
        <f>IFERROR(IF(OR(ISTEXT('2_Growth_Comparison'!F13),ISTEXT('2_Growth_Comparison'!F16)),"N/A",'2_Growth_Comparison'!F13*100/'2_Growth_Comparison'!F16),"N/A")</f>
        <v/>
      </c>
    </row>
    <row r="13">
      <c r="A13" s="2" t="inlineStr">
        <is>
          <t>Torrent Power — Sales / Total Assets (x)</t>
        </is>
      </c>
      <c r="B13" s="19">
        <f>IFERROR(IF(OR(ISTEXT('2_Growth_Comparison'!B19),ISTEXT('2_Growth_Comparison'!B21)),"N/A",'2_Growth_Comparison'!B19/'2_Growth_Comparison'!B21),"N/A")</f>
        <v/>
      </c>
      <c r="C13" s="19">
        <f>IFERROR(IF(OR(ISTEXT('2_Growth_Comparison'!C19),ISTEXT('2_Growth_Comparison'!C21)),"N/A",'2_Growth_Comparison'!C19/'2_Growth_Comparison'!C21),"N/A")</f>
        <v/>
      </c>
      <c r="D13" s="19">
        <f>IFERROR(IF(OR(ISTEXT('2_Growth_Comparison'!D19),ISTEXT('2_Growth_Comparison'!D21)),"N/A",'2_Growth_Comparison'!D19/'2_Growth_Comparison'!D21),"N/A")</f>
        <v/>
      </c>
      <c r="E13" s="19">
        <f>IFERROR(IF(OR(ISTEXT('2_Growth_Comparison'!E19),ISTEXT('2_Growth_Comparison'!E21)),"N/A",'2_Growth_Comparison'!E19/'2_Growth_Comparison'!E21),"N/A")</f>
        <v/>
      </c>
      <c r="F13" s="19">
        <f>IFERROR(IF(OR(ISTEXT('2_Growth_Comparison'!F19),ISTEXT('2_Growth_Comparison'!F21)),"N/A",'2_Growth_Comparison'!F19/'2_Growth_Comparison'!F21),"N/A")</f>
        <v/>
      </c>
    </row>
    <row r="14">
      <c r="A14" s="2" t="inlineStr">
        <is>
          <t>Torrent Power — Sales / Employee (₹ lakh)</t>
        </is>
      </c>
      <c r="B14" s="19">
        <f>IFERROR(IF(OR(ISTEXT('2_Growth_Comparison'!B19),ISTEXT('2_Growth_Comparison'!B22)),"N/A",'2_Growth_Comparison'!B19*100/'2_Growth_Comparison'!B22),"N/A")</f>
        <v/>
      </c>
      <c r="C14" s="19">
        <f>IFERROR(IF(OR(ISTEXT('2_Growth_Comparison'!C19),ISTEXT('2_Growth_Comparison'!C22)),"N/A",'2_Growth_Comparison'!C19*100/'2_Growth_Comparison'!C22),"N/A")</f>
        <v/>
      </c>
      <c r="D14" s="19">
        <f>IFERROR(IF(OR(ISTEXT('2_Growth_Comparison'!D19),ISTEXT('2_Growth_Comparison'!D22)),"N/A",'2_Growth_Comparison'!D19*100/'2_Growth_Comparison'!D22),"N/A")</f>
        <v/>
      </c>
      <c r="E14" s="19">
        <f>IFERROR(IF(OR(ISTEXT('2_Growth_Comparison'!E19),ISTEXT('2_Growth_Comparison'!E22)),"N/A",'2_Growth_Comparison'!E19*100/'2_Growth_Comparison'!E22),"N/A")</f>
        <v/>
      </c>
      <c r="F14" s="19">
        <f>IFERROR(IF(OR(ISTEXT('2_Growth_Comparison'!F19),ISTEXT('2_Growth_Comparison'!F22)),"N/A",'2_Growth_Comparison'!F19*100/'2_Growth_Comparison'!F22),"N/A")</f>
        <v/>
      </c>
    </row>
    <row r="16">
      <c r="A16" s="9" t="inlineStr">
        <is>
          <t>Comments</t>
        </is>
      </c>
    </row>
    <row r="17" ht="130" customHeight="1">
      <c r="A17" s="14" t="inlineStr">
        <is>
          <t>SALES PER RUPEE OF ASSET (all five years computed from verified Annual Report data): Adani Power improved from ~0.39x (FY22) to a peak of ~0.65x (FY24), then fell back to ~0.41x (FY26) as its asset base ballooned ahead of revenue from new acquisitions still ramping up. Tata Power is stable in a ~0.37-0.45x band — typical of a regulated, asset-heavy integrated utility. Torrent Power is consistently the MOST asset-efficient of the three (~0.58-0.87x, peaking FY23 when DNH&amp;DD volumes hit a still-small asset base) — its regulated distribution business generates more revenue per rupee of assets than pure thermal generation does. SALES PER EMPLOYEE: comparable across time within Torrent (parent employs most staff) but NOT comparable across companies — Adani and Tata employee counts are standalone-parent only, while their revenue is consolidated (Tata's discoms/TPREL staff sit in subsidiaries). Use the Torrent series as the benchmark and treat Adani/Tata Sales-per-Employee as indicative only, noting the basis in any write-up.</t>
        </is>
      </c>
    </row>
    <row r="18"/>
    <row r="19"/>
    <row r="20"/>
    <row r="21"/>
    <row r="22"/>
    <row r="23"/>
    <row r="24"/>
  </sheetData>
  <mergeCells count="3">
    <mergeCell ref="A2:F2"/>
    <mergeCell ref="A1:F1"/>
    <mergeCell ref="A17: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10" t="inlineStr">
        <is>
          <t>Company</t>
        </is>
      </c>
      <c r="B5" s="10" t="inlineStr">
        <is>
          <t>Date</t>
        </is>
      </c>
      <c r="C5" s="10" t="inlineStr">
        <is>
          <t>Target / Deal</t>
        </is>
      </c>
      <c r="D5" s="10" t="inlineStr">
        <is>
          <t>Deal Size (₹ cr)</t>
        </is>
      </c>
      <c r="E5" s="10" t="inlineStr">
        <is>
          <t>Status</t>
        </is>
      </c>
      <c r="F5" s="10" t="inlineStr">
        <is>
          <t>Route</t>
        </is>
      </c>
      <c r="G5" s="10" t="inlineStr">
        <is>
          <t>Impact on Sales/Profit/CFO post-acquisition</t>
        </is>
      </c>
    </row>
    <row r="6" ht="45" customHeight="1">
      <c r="A6" s="16" t="inlineStr">
        <is>
          <t>Adani Power</t>
        </is>
      </c>
      <c r="B6" s="16" t="inlineStr">
        <is>
          <t>Mar 2022</t>
        </is>
      </c>
      <c r="C6" s="16" t="inlineStr">
        <is>
          <t>Essar Power MP → Mahan Energen Ltd (1,200 MW, MP)</t>
        </is>
      </c>
      <c r="D6" s="16" t="inlineStr">
        <is>
          <t>&gt;4,250</t>
        </is>
      </c>
      <c r="E6" s="16" t="inlineStr">
        <is>
          <t>Completed</t>
        </is>
      </c>
      <c r="F6" s="16" t="inlineStr">
        <is>
          <t>IBC/CIRP</t>
        </is>
      </c>
      <c r="G6" s="16" t="inlineStr">
        <is>
          <t>Lifted total operating capacity; management cites new-acquisition depreciation as a near-term drag on PBT, but capacity/EBITDA growth outweighs it. No standalone P&amp;L attribution disclosed publicly.</t>
        </is>
      </c>
    </row>
    <row r="7" ht="45" customHeight="1">
      <c r="A7" s="16" t="inlineStr">
        <is>
          <t>Adani Power</t>
        </is>
      </c>
      <c r="B7" s="16" t="inlineStr">
        <is>
          <t>Feb 2023</t>
        </is>
      </c>
      <c r="C7" s="16" t="inlineStr">
        <is>
          <t>DB Power (1,200 MW, Chhattisgarh)</t>
        </is>
      </c>
      <c r="D7" s="16" t="inlineStr">
        <is>
          <t>7,017 (deal signed)</t>
        </is>
      </c>
      <c r="E7" s="16" t="inlineStr">
        <is>
          <t>LAPSED — long-stop date expired unconsummated</t>
        </is>
      </c>
      <c r="F7" s="16" t="inlineStr">
        <is>
          <t>Negotiated M&amp;A</t>
        </is>
      </c>
      <c r="G7" s="16" t="inlineStr">
        <is>
          <t>None — deal did not close.</t>
        </is>
      </c>
    </row>
    <row r="8" ht="45" customHeight="1">
      <c r="A8" s="16" t="inlineStr">
        <is>
          <t>Adani Power</t>
        </is>
      </c>
      <c r="B8" s="16" t="inlineStr">
        <is>
          <t>Aug 2024</t>
        </is>
      </c>
      <c r="C8" s="16" t="inlineStr">
        <is>
          <t>Lanco Amarkantak → Korba Power Ltd (600 MW, Chhattisgarh)</t>
        </is>
      </c>
      <c r="D8" s="16" t="inlineStr">
        <is>
          <t>4,101</t>
        </is>
      </c>
      <c r="E8" s="16" t="inlineStr">
        <is>
          <t>NCLT-approved, completed</t>
        </is>
      </c>
      <c r="F8" s="16" t="inlineStr">
        <is>
          <t>IBC/CIRP</t>
        </is>
      </c>
      <c r="G8" s="16" t="inlineStr">
        <is>
          <t>Contributed to capacity growth to 17,550 MW (Q1 FY26); no standalone P&amp;L split disclosed.</t>
        </is>
      </c>
    </row>
    <row r="9" ht="45" customHeight="1">
      <c r="A9" s="16" t="inlineStr">
        <is>
          <t>Adani Power</t>
        </is>
      </c>
      <c r="B9" s="16" t="inlineStr">
        <is>
          <t>Aug 2024</t>
        </is>
      </c>
      <c r="C9" s="16" t="inlineStr">
        <is>
          <t>Coastal Energen → Moxie Power Generation Ltd (1,200 MW, Tamil Nadu) — 49% JV with DAIT</t>
        </is>
      </c>
      <c r="D9" s="16" t="inlineStr">
        <is>
          <t>~3,335 (to creditors)</t>
        </is>
      </c>
      <c r="E9" s="16" t="inlineStr">
        <is>
          <t>NCLT-approved, completed</t>
        </is>
      </c>
      <c r="F9" s="16" t="inlineStr">
        <is>
          <t>IBC/CIRP (JV, Adani 49%)</t>
        </is>
      </c>
      <c r="G9" s="16" t="inlineStr">
        <is>
          <t>Adds south-India footprint; equity-accounted as JV, so full revenue not consolidated line-by-line.</t>
        </is>
      </c>
    </row>
    <row r="10" ht="45" customHeight="1">
      <c r="A10" s="16" t="inlineStr">
        <is>
          <t>Adani Power</t>
        </is>
      </c>
      <c r="B10" s="16" t="inlineStr">
        <is>
          <t>Jul 2025</t>
        </is>
      </c>
      <c r="C10" s="16" t="inlineStr">
        <is>
          <t>Vidarbha Industries Power Ltd (600 MW, Nagpur)</t>
        </is>
      </c>
      <c r="D10" s="16" t="inlineStr">
        <is>
          <t>Not disclosed</t>
        </is>
      </c>
      <c r="E10" s="16" t="inlineStr">
        <is>
          <t>Completed</t>
        </is>
      </c>
      <c r="F10" s="16" t="inlineStr">
        <is>
          <t>IBC/CIRP</t>
        </is>
      </c>
      <c r="G10" s="16" t="inlineStr">
        <is>
          <t>Took total operating capacity to 18,150 MW.</t>
        </is>
      </c>
    </row>
    <row r="11" ht="45" customHeight="1">
      <c r="A11" s="16" t="inlineStr">
        <is>
          <t>Adani Power</t>
        </is>
      </c>
      <c r="B11" s="16" t="inlineStr">
        <is>
          <t>~Mar 2026</t>
        </is>
      </c>
      <c r="C11" s="16" t="inlineStr">
        <is>
          <t>Jaiprakash Power Ventures Ltd — 24% stake via resolution plan (thermal + hydro assets)</t>
        </is>
      </c>
      <c r="D11" s="16" t="inlineStr">
        <is>
          <t>~14,535</t>
        </is>
      </c>
      <c r="E11" s="16" t="inlineStr">
        <is>
          <t>NCLT approved</t>
        </is>
      </c>
      <c r="F11" s="16" t="inlineStr">
        <is>
          <t>IBC/CIRP (implementing entity)</t>
        </is>
      </c>
      <c r="G11" s="16" t="inlineStr">
        <is>
          <t>Too recent for post-acquisition P&amp;L data; JP Power stock jumped ~29% in 2 days on the news.</t>
        </is>
      </c>
    </row>
    <row r="12" ht="45" customHeight="1">
      <c r="A12" s="16" t="inlineStr">
        <is>
          <t>Adani Power</t>
        </is>
      </c>
      <c r="B12" s="16" t="inlineStr">
        <is>
          <t>Dec 2025 (bid)</t>
        </is>
      </c>
      <c r="C12" s="16" t="inlineStr">
        <is>
          <t>GVK Energy — Alaknanda hydro (330 MW, Uttarakhand)</t>
        </is>
      </c>
      <c r="D12" s="16" t="inlineStr">
        <is>
          <t>~3,000-4,000 (bid range)</t>
        </is>
      </c>
      <c r="E12" s="16" t="inlineStr">
        <is>
          <t>Frontrunner reported; completion unconfirmed</t>
        </is>
      </c>
      <c r="F12" s="16" t="inlineStr">
        <is>
          <t>IBC/CIRP (bidding)</t>
        </is>
      </c>
      <c r="G12" s="16" t="inlineStr">
        <is>
          <t>Not yet completed as of research date — verify current status.</t>
        </is>
      </c>
    </row>
    <row r="13" ht="45" customHeight="1">
      <c r="A13" s="16" t="inlineStr">
        <is>
          <t>Adani Power</t>
        </is>
      </c>
      <c r="B13" s="16" t="inlineStr">
        <is>
          <t>2024 (bid)</t>
        </is>
      </c>
      <c r="C13" s="16" t="inlineStr">
        <is>
          <t>KSK Mahanadi Power (1,800 MW, Chhattisgarh)</t>
        </is>
      </c>
      <c r="D13" s="16" t="inlineStr">
        <is>
          <t>~27,000 (bid)</t>
        </is>
      </c>
      <c r="E13" s="16" t="inlineStr">
        <is>
          <t>Completion status unconfirmed</t>
        </is>
      </c>
      <c r="F13" s="16" t="inlineStr">
        <is>
          <t>IBC/CIRP (bidding)</t>
        </is>
      </c>
      <c r="G13" s="16" t="inlineStr">
        <is>
          <t>Verify current status directly.</t>
        </is>
      </c>
    </row>
    <row r="14" ht="45" customHeight="1">
      <c r="A14" s="16" t="inlineStr">
        <is>
          <t>Tata Power</t>
        </is>
      </c>
      <c r="B14" s="16" t="inlineStr">
        <is>
          <t>Mar 2021</t>
        </is>
      </c>
      <c r="C14" s="16" t="inlineStr">
        <is>
          <t>NESCO → TP Northern Odisha Distribution Ltd (TPNODL) — 51%</t>
        </is>
      </c>
      <c r="D14" s="16" t="inlineStr">
        <is>
          <t>191</t>
        </is>
      </c>
      <c r="E14" s="16" t="inlineStr">
        <is>
          <t>Completed</t>
        </is>
      </c>
      <c r="F14" s="16" t="inlineStr">
        <is>
          <t>PPP discom privatization</t>
        </is>
      </c>
      <c r="G14" s="16" t="inlineStr">
        <is>
          <t>Part of a wave of 4 Odisha discom acquisitions (2020-21) that materially grew the T&amp;D segment's customer base (12.6mn customers) and revenue.</t>
        </is>
      </c>
    </row>
    <row r="15" ht="45" customHeight="1">
      <c r="A15" s="16" t="inlineStr">
        <is>
          <t>Tata Power</t>
        </is>
      </c>
      <c r="B15" s="16" t="inlineStr">
        <is>
          <t>2020-21</t>
        </is>
      </c>
      <c r="C15" s="16" t="inlineStr">
        <is>
          <t>TP Central/Western/Southern Odisha Distribution Ltds (TPCODL/TPWODL/TPSODL) — 51% each</t>
        </is>
      </c>
      <c r="D15" s="16" t="inlineStr">
        <is>
          <t>Not found</t>
        </is>
      </c>
      <c r="E15" s="16" t="inlineStr">
        <is>
          <t>Completed</t>
        </is>
      </c>
      <c r="F15" s="16" t="inlineStr">
        <is>
          <t>PPP discom privatization</t>
        </is>
      </c>
      <c r="G15" s="16" t="inlineStr">
        <is>
          <t>See above — combined Odisha discom impact drove T&amp;D revenue growth through FY22-24.</t>
        </is>
      </c>
    </row>
    <row r="16" ht="45" customHeight="1">
      <c r="A16" s="16" t="inlineStr">
        <is>
          <t>Tata Power</t>
        </is>
      </c>
      <c r="B16" s="16" t="inlineStr">
        <is>
          <t>2023</t>
        </is>
      </c>
      <c r="C16" s="16" t="inlineStr">
        <is>
          <t>Resurgent Power Ventures — NRSS XXXVI Transmission Ltd &amp; South East UP Power Transmission Co Ltd (transmission SPVs)</t>
        </is>
      </c>
      <c r="D16" s="16" t="inlineStr">
        <is>
          <t>Not found</t>
        </is>
      </c>
      <c r="E16" s="16" t="inlineStr">
        <is>
          <t>Completed</t>
        </is>
      </c>
      <c r="F16" s="16" t="inlineStr">
        <is>
          <t>M&amp;A (transmission assets)</t>
        </is>
      </c>
      <c r="G16" s="16" t="inlineStr">
        <is>
          <t>Expands regulated transmission asset base; no standalone P&amp;L disclosed.</t>
        </is>
      </c>
    </row>
    <row r="17" ht="45" customHeight="1">
      <c r="A17" s="16" t="inlineStr">
        <is>
          <t>Tata Power</t>
        </is>
      </c>
      <c r="B17" s="16" t="inlineStr">
        <is>
          <t>Ongoing</t>
        </is>
      </c>
      <c r="C17" s="16" t="inlineStr">
        <is>
          <t>Dorjilung Hydro Power Ltd stake (Bhutan, 1,125 MW project)</t>
        </is>
      </c>
      <c r="D17" s="16" t="inlineStr">
        <is>
          <t>Not found</t>
        </is>
      </c>
      <c r="E17" s="16" t="inlineStr">
        <is>
          <t>In development</t>
        </is>
      </c>
      <c r="F17" s="16" t="inlineStr">
        <is>
          <t>JV/equity stake</t>
        </is>
      </c>
      <c r="G17" s="16" t="inlineStr">
        <is>
          <t>Development-stage; no revenue contribution yet.</t>
        </is>
      </c>
    </row>
    <row r="18" ht="45" customHeight="1">
      <c r="A18" s="16" t="inlineStr">
        <is>
          <t>Tata Power</t>
        </is>
      </c>
      <c r="B18" s="16" t="inlineStr">
        <is>
          <t>Jun 2026</t>
        </is>
      </c>
      <c r="C18" s="16" t="inlineStr">
        <is>
          <t>Ryapte Power (transmission SPV) — Letter of Intent</t>
        </is>
      </c>
      <c r="D18" s="16" t="inlineStr">
        <is>
          <t>Not found</t>
        </is>
      </c>
      <c r="E18" s="16" t="inlineStr">
        <is>
          <t>LOI stage</t>
        </is>
      </c>
      <c r="F18" s="16" t="inlineStr">
        <is>
          <t>M&amp;A</t>
        </is>
      </c>
      <c r="G18" s="16" t="inlineStr">
        <is>
          <t>Too recent — no impact data.</t>
        </is>
      </c>
    </row>
    <row r="19" ht="45" customHeight="1">
      <c r="A19" s="16" t="inlineStr">
        <is>
          <t>Torrent Power</t>
        </is>
      </c>
      <c r="B19" s="16" t="inlineStr">
        <is>
          <t>Apr 2022 (LoI Feb 2021)</t>
        </is>
      </c>
      <c r="C19" s="16" t="inlineStr">
        <is>
          <t>51% stake, Dadra &amp; Nagar Haveli and Daman &amp; Diu (DNH&amp;DD) Power Distribution Corp Ltd</t>
        </is>
      </c>
      <c r="D19" s="16" t="inlineStr">
        <is>
          <t>~555 (bid)</t>
        </is>
      </c>
      <c r="E19" s="16" t="inlineStr">
        <is>
          <t>Completed (after litigation delay)</t>
        </is>
      </c>
      <c r="F19" s="16" t="inlineStr">
        <is>
          <t>PPP discom privatization</t>
        </is>
      </c>
      <c r="G19" s="16" t="inlineStr">
        <is>
          <t>Distribution electricity-purchase volume +63.2% YoY in FY23 (30,037 MU vs 18,405 MU) — a major driver of the FY23 revenue jump to ₹26,076 cr.</t>
        </is>
      </c>
    </row>
    <row r="20" ht="45" customHeight="1">
      <c r="A20" s="16" t="inlineStr">
        <is>
          <t>Torrent Power</t>
        </is>
      </c>
      <c r="B20" s="16" t="inlineStr">
        <is>
          <t>Jul 2022</t>
        </is>
      </c>
      <c r="C20" s="16" t="inlineStr">
        <is>
          <t>Wind Two Renergy — 100% stake</t>
        </is>
      </c>
      <c r="D20" s="16" t="inlineStr">
        <is>
          <t>~4.1 (US$ mn, i.e. ~₹34 cr)</t>
        </is>
      </c>
      <c r="E20" s="16" t="inlineStr">
        <is>
          <t>Completed</t>
        </is>
      </c>
      <c r="F20" s="16" t="inlineStr">
        <is>
          <t>M&amp;A</t>
        </is>
      </c>
      <c r="G20" s="16" t="inlineStr">
        <is>
          <t>Adds wind capacity; no standalone P&amp;L disclosed.</t>
        </is>
      </c>
    </row>
    <row r="21" ht="45" customHeight="1">
      <c r="A21" s="16" t="inlineStr">
        <is>
          <t>Torrent Power</t>
        </is>
      </c>
      <c r="B21" s="16" t="inlineStr">
        <is>
          <t>~2022-23</t>
        </is>
      </c>
      <c r="C21" s="16" t="inlineStr">
        <is>
          <t>Visual Percept Solar Projects (25 MW solar, Gujarat)</t>
        </is>
      </c>
      <c r="D21" s="16" t="inlineStr">
        <is>
          <t>163</t>
        </is>
      </c>
      <c r="E21" s="16" t="inlineStr">
        <is>
          <t>Completed</t>
        </is>
      </c>
      <c r="F21" s="16" t="inlineStr">
        <is>
          <t>M&amp;A</t>
        </is>
      </c>
      <c r="G21" s="16" t="inlineStr">
        <is>
          <t>25-year PPA signed; incremental to solar segment.</t>
        </is>
      </c>
    </row>
    <row r="22" ht="45" customHeight="1">
      <c r="A22" s="16" t="inlineStr">
        <is>
          <t>Torrent Power</t>
        </is>
      </c>
      <c r="B22" s="16" t="inlineStr">
        <is>
          <t>Jun 2026 (SPA Feb 2026)</t>
        </is>
      </c>
      <c r="C22" s="16" t="inlineStr">
        <is>
          <t>Nabha Power Ltd — 100% (2x700 MW coal, Punjab), from L&amp;T Power Development</t>
        </is>
      </c>
      <c r="D22" s="16" t="inlineStr">
        <is>
          <t>~3,632-3,661</t>
        </is>
      </c>
      <c r="E22" s="16" t="inlineStr">
        <is>
          <t>Completed</t>
        </is>
      </c>
      <c r="F22" s="16" t="inlineStr">
        <is>
          <t>M&amp;A</t>
        </is>
      </c>
      <c r="G22" s="16" t="inlineStr">
        <is>
          <t>Lifts total generation capacity from ~5 GW to ~6.4 GW; stock rose ~39% in Apr 2026 partly on this news (pre-completion announcement effect).</t>
        </is>
      </c>
    </row>
    <row r="24">
      <c r="A24" s="9" t="inlineStr">
        <is>
          <t>Comments</t>
        </is>
      </c>
    </row>
    <row r="25" ht="100" customHeight="1">
      <c r="A25" s="14"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6" t="inlineStr">
        <is>
          <t>Promoter holding (%)</t>
        </is>
      </c>
      <c r="B6" s="16" t="inlineStr">
        <is>
          <t>74.96% (Promoter &amp; Promoter Group, per FY26 Annual Report shareholding table)</t>
        </is>
      </c>
      <c r="C6" s="16" t="inlineStr">
        <is>
          <t>46.86% total promoter group; Tata Sons Pvt Ltd alone = 45.21% (per FY26 Annual Report)</t>
        </is>
      </c>
      <c r="D6" s="16" t="inlineStr">
        <is>
          <t>51.09% — Torrent Investments Ltd (formerly Torrent Investments Pvt Ltd), unchanged FY25→FY26 (per FY26 Annual Report)</t>
        </is>
      </c>
      <c r="E6" s="16" t="inlineStr">
        <is>
          <t>VERIFIED from FY25-26 Annual Reports (uploaded).</t>
        </is>
      </c>
    </row>
    <row r="7" ht="55" customHeight="1">
      <c r="A7" s="16" t="inlineStr">
        <is>
          <t>Promoter pledge</t>
        </is>
      </c>
      <c r="B7" s="16" t="inlineStr">
        <is>
          <t>No pledge of promoter shares disclosed in the FY26 Annual Report (only routine subsidiary-loan security pledges by the Company, unrelated to promoter shareholding).</t>
        </is>
      </c>
      <c r="C7" s="16" t="inlineStr">
        <is>
          <t>'Company has not raised loans during the year on the pledge of securities held in its subsidiaries, joint ventures...' — no promoter share pledge disclosed.</t>
        </is>
      </c>
      <c r="D7" s="16" t="inlineStr">
        <is>
          <t>No pledge of promoter shares disclosed in the FY26 Annual Report.</t>
        </is>
      </c>
      <c r="E7" s="16" t="inlineStr">
        <is>
          <t>VERIFIED (nil promoter pledge) from FY25-26 Annual Reports for all three.</t>
        </is>
      </c>
    </row>
    <row r="8" ht="55" customHeight="1">
      <c r="A8" s="16" t="inlineStr">
        <is>
          <t>FII / FPI holding (%)</t>
        </is>
      </c>
      <c r="B8" s="16" t="inlineStr">
        <is>
          <t>11.74% (secondary-source snapshot; not separately re-verified in the Annual Report text extract)</t>
        </is>
      </c>
      <c r="C8" s="16" t="inlineStr">
        <is>
          <t>~10.0-10.04% (secondary-source snapshot)</t>
        </is>
      </c>
      <c r="D8" s="20" t="inlineStr">
        <is>
          <t>8.4%-14.2% (conflicting across sources/dates)</t>
        </is>
      </c>
      <c r="E8" s="16" t="inlineStr">
        <is>
          <t>Category-wise FII/DII % not captured from the Annual Report's shareholding table in this pass — cross-check the full SHP table in each PDF if needed.</t>
        </is>
      </c>
    </row>
    <row r="9" ht="55" customHeight="1">
      <c r="A9" s="16" t="inlineStr">
        <is>
          <t>DII / Mutual Fund holding (%)</t>
        </is>
      </c>
      <c r="B9" s="16" t="inlineStr">
        <is>
          <t>3.69% (DII, secondary-source snapshot)</t>
        </is>
      </c>
      <c r="C9" s="16" t="inlineStr">
        <is>
          <t>8.64% (DII, one source) vs 18.28% (DII, another) — MFs alone ~8.89-9.63%</t>
        </is>
      </c>
      <c r="D9" s="16" t="inlineStr">
        <is>
          <t>SBI Mutual Fund confirmed at 8.57% (FY26, up from 7.95% FY25) — VERIFIED from Annual Report top-10-shareholders table.</t>
        </is>
      </c>
      <c r="E9" s="16" t="inlineStr">
        <is>
          <t>6-month change for SBI MF in Torrent Power (7.95%→8.57%) is now VERIFIED; other DII figures remain secondary-source.</t>
        </is>
      </c>
    </row>
    <row r="10" ht="55" customHeight="1">
      <c r="A10" s="16" t="inlineStr">
        <is>
          <t>Public / Retail (%)</t>
        </is>
      </c>
      <c r="B10" s="16" t="inlineStr">
        <is>
          <t>9.62% (secondary-source snapshot)</t>
        </is>
      </c>
      <c r="C10" s="16" t="inlineStr">
        <is>
          <t>~21.5-25.6% (free float, incl. FII+DII+public)</t>
        </is>
      </c>
      <c r="D10" s="20" t="inlineStr">
        <is>
          <t>~9.3-17.68% (conflicting by source/date)</t>
        </is>
      </c>
      <c r="E10" s="16" t="inlineStr"/>
    </row>
    <row r="11" ht="55" customHeight="1">
      <c r="A11" s="16" t="inlineStr">
        <is>
          <t>Free float (100% - promoter%)</t>
        </is>
      </c>
      <c r="B11" s="16" t="inlineStr">
        <is>
          <t>~25.04%</t>
        </is>
      </c>
      <c r="C11" s="16" t="inlineStr">
        <is>
          <t>~53.14%</t>
        </is>
      </c>
      <c r="D11" s="16" t="inlineStr">
        <is>
          <t>~48.91%</t>
        </is>
      </c>
      <c r="E11" s="16" t="inlineStr">
        <is>
          <t>Approx.; = 100% - promoter%.</t>
        </is>
      </c>
    </row>
    <row r="12" ht="55" customHeight="1">
      <c r="A12" s="16" t="inlineStr">
        <is>
          <t>Named shareholder(s) holding &gt;5%</t>
        </is>
      </c>
      <c r="B12" s="16"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6" t="inlineStr">
        <is>
          <t>Life Insurance Corporation of India (LIC) — 5.18% as at 31-Mar-2026 (up from 2.96% at 31-Mar-2025), crossing the 5% threshold during FY26 — VERIFIED from the FY26 Annual Report's 'shareholders holding more than 5%' table.</t>
        </is>
      </c>
      <c r="D12" s="16"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6" t="inlineStr">
        <is>
          <t>All three figures in this row are now VERIFIED from primary Annual Reports, replacing prior unconfirmed secondary-source claims.</t>
        </is>
      </c>
    </row>
    <row r="14">
      <c r="A14" s="9" t="inlineStr">
        <is>
          <t>Comments</t>
        </is>
      </c>
    </row>
    <row r="15" ht="100" customHeight="1">
      <c r="A15"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5" t="inlineStr">
        <is>
          <t>Segment Revenue — Power Generation</t>
        </is>
      </c>
      <c r="B7" s="11" t="n">
        <v>27221.78</v>
      </c>
      <c r="C7" s="11" t="n">
        <v>37895.85</v>
      </c>
      <c r="D7" s="11" t="n">
        <v>50014.16</v>
      </c>
      <c r="E7" s="11" t="n">
        <v>56107.06</v>
      </c>
      <c r="F7" s="11" t="n">
        <v>54240.52</v>
      </c>
    </row>
    <row r="8">
      <c r="A8" s="15" t="inlineStr">
        <is>
          <t>Segment Revenue — Trading/Investment/Other</t>
        </is>
      </c>
      <c r="B8" s="11" t="n">
        <v>489.4</v>
      </c>
      <c r="C8" s="11" t="n">
        <v>877.45</v>
      </c>
      <c r="D8" s="11" t="n">
        <v>337.09</v>
      </c>
      <c r="E8" s="11" t="n">
        <v>96.03</v>
      </c>
      <c r="F8" s="11" t="n">
        <v>0</v>
      </c>
    </row>
    <row r="9">
      <c r="A9" s="15" t="inlineStr">
        <is>
          <t>Segment Results — Power Generation</t>
        </is>
      </c>
      <c r="B9" s="11" t="n">
        <v>6571.37</v>
      </c>
      <c r="C9" s="11" t="n">
        <v>6957.13</v>
      </c>
      <c r="D9" s="11" t="n">
        <v>20557.22</v>
      </c>
      <c r="E9" s="11" t="n">
        <v>16540.39</v>
      </c>
      <c r="F9" s="11" t="n">
        <v>15757.55</v>
      </c>
    </row>
    <row r="10">
      <c r="A10" s="15" t="inlineStr">
        <is>
          <t>Segment Results — Trading/Investment/Other</t>
        </is>
      </c>
      <c r="B10" s="11" t="n">
        <v>5.76</v>
      </c>
      <c r="C10" s="11" t="n">
        <v>717.5700000000001</v>
      </c>
      <c r="D10" s="11" t="n">
        <v>234.29</v>
      </c>
      <c r="E10" s="11" t="n">
        <v>-1.81</v>
      </c>
      <c r="F10" s="11" t="n">
        <v>13.68</v>
      </c>
    </row>
    <row r="11">
      <c r="A11" s="15" t="inlineStr">
        <is>
          <t>Segment Assets — Power Generation</t>
        </is>
      </c>
      <c r="B11" s="11" t="n">
        <v>81888.09</v>
      </c>
      <c r="C11" s="11" t="n">
        <v>84364.22</v>
      </c>
      <c r="D11" s="11" t="n">
        <v>91378.85000000001</v>
      </c>
      <c r="E11" s="11" t="n">
        <v>111162.48</v>
      </c>
      <c r="F11" s="11" t="n">
        <v>139777.31</v>
      </c>
    </row>
    <row r="12">
      <c r="A12" s="15"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5" t="inlineStr">
        <is>
          <t>Segment Revenue — Generation/Thermal &amp; Hydro</t>
        </is>
      </c>
      <c r="B17" s="11" t="n">
        <v>11211.03</v>
      </c>
      <c r="C17" s="11" t="n">
        <v>18211.35</v>
      </c>
      <c r="D17" s="11" t="n">
        <v>19613.61</v>
      </c>
      <c r="E17" s="11" t="n">
        <v>19739.07</v>
      </c>
      <c r="F17" s="11" t="n">
        <v>11635.93</v>
      </c>
    </row>
    <row r="18">
      <c r="A18" s="15" t="inlineStr">
        <is>
          <t>Segment Revenue — Renewables</t>
        </is>
      </c>
      <c r="B18" s="11" t="n">
        <v>7748.9</v>
      </c>
      <c r="C18" s="11" t="n">
        <v>8196.91</v>
      </c>
      <c r="D18" s="11" t="n">
        <v>10175.29</v>
      </c>
      <c r="E18" s="11" t="n">
        <v>9876.360000000001</v>
      </c>
      <c r="F18" s="11" t="n">
        <v>15027.82</v>
      </c>
    </row>
    <row r="19">
      <c r="A19" s="15" t="inlineStr">
        <is>
          <t>Segment Revenue — Transmission &amp; Distribution</t>
        </is>
      </c>
      <c r="B19" s="11" t="n">
        <v>27493.17</v>
      </c>
      <c r="C19" s="11" t="n">
        <v>34529.36</v>
      </c>
      <c r="D19" s="11" t="n">
        <v>36205.82</v>
      </c>
      <c r="E19" s="11" t="n">
        <v>39120.52</v>
      </c>
      <c r="F19" s="11" t="n">
        <v>41338.59</v>
      </c>
    </row>
    <row r="20">
      <c r="A20" s="15" t="inlineStr">
        <is>
          <t>Segment Revenue — Others</t>
        </is>
      </c>
      <c r="B20" s="11" t="n">
        <v>317.8</v>
      </c>
      <c r="C20" s="11" t="n">
        <v>413.56</v>
      </c>
      <c r="D20" s="11" t="n">
        <v>430.62</v>
      </c>
      <c r="E20" s="11" t="n">
        <v>431.04</v>
      </c>
      <c r="F20" s="11" t="n">
        <v>431.79</v>
      </c>
    </row>
    <row r="21">
      <c r="A21" s="15" t="inlineStr">
        <is>
          <t>Segment Results — Generation/Thermal &amp; Hydro</t>
        </is>
      </c>
      <c r="B21" s="11" t="n">
        <v>2632.75</v>
      </c>
      <c r="C21" s="11" t="n">
        <v>5092.16</v>
      </c>
      <c r="D21" s="11" t="n">
        <v>2569.61</v>
      </c>
      <c r="E21" s="11" t="n">
        <v>2878.91</v>
      </c>
      <c r="F21" s="11" t="n">
        <v>1137.94</v>
      </c>
    </row>
    <row r="22">
      <c r="A22" s="15" t="inlineStr">
        <is>
          <t>Segment Results — Renewables</t>
        </is>
      </c>
      <c r="B22" s="11" t="n">
        <v>1923.57</v>
      </c>
      <c r="C22" s="11" t="n">
        <v>1932.01</v>
      </c>
      <c r="D22" s="11" t="n">
        <v>2147.1</v>
      </c>
      <c r="E22" s="11" t="n">
        <v>2880.68</v>
      </c>
      <c r="F22" s="11" t="n">
        <v>4340.93</v>
      </c>
    </row>
    <row r="23">
      <c r="A23" s="15" t="inlineStr">
        <is>
          <t>Segment Results — Transmission &amp; Distribution</t>
        </is>
      </c>
      <c r="B23" s="11" t="n">
        <v>2138.49</v>
      </c>
      <c r="C23" s="11" t="n">
        <v>2197.68</v>
      </c>
      <c r="D23" s="11" t="n">
        <v>2418.22</v>
      </c>
      <c r="E23" s="11" t="n">
        <v>3128.27</v>
      </c>
      <c r="F23" s="11" t="n">
        <v>4307.95</v>
      </c>
    </row>
    <row r="24">
      <c r="A24" s="15" t="inlineStr">
        <is>
          <t>Segment Results — Others</t>
        </is>
      </c>
      <c r="B24" s="11" t="n">
        <v>-286.03</v>
      </c>
      <c r="C24" s="11" t="n">
        <v>-308.17</v>
      </c>
      <c r="D24" s="11" t="n">
        <v>105.38</v>
      </c>
      <c r="E24" s="11" t="n">
        <v>112.8</v>
      </c>
      <c r="F24" s="11" t="n">
        <v>104.72</v>
      </c>
    </row>
    <row r="25">
      <c r="A25" s="15" t="inlineStr">
        <is>
          <t>Segment Assets — Generation/Thermal &amp; Hydro</t>
        </is>
      </c>
      <c r="B25" s="11" t="n">
        <v>38201.93</v>
      </c>
      <c r="C25" s="11" t="n">
        <v>41201.04</v>
      </c>
      <c r="D25" s="11" t="n">
        <v>39315.88</v>
      </c>
      <c r="E25" s="11" t="n">
        <v>39708.11</v>
      </c>
      <c r="F25" s="11" t="n">
        <v>41697.31</v>
      </c>
    </row>
    <row r="26">
      <c r="A26" s="15" t="inlineStr">
        <is>
          <t>Segment Assets — Renewables</t>
        </is>
      </c>
      <c r="B26" s="11" t="n">
        <v>27589.28</v>
      </c>
      <c r="C26" s="11" t="n">
        <v>29744.49</v>
      </c>
      <c r="D26" s="11" t="n">
        <v>40459.25</v>
      </c>
      <c r="E26" s="11" t="n">
        <v>51355.61</v>
      </c>
      <c r="F26" s="11" t="n">
        <v>56921.28</v>
      </c>
    </row>
    <row r="27">
      <c r="A27" s="15" t="inlineStr">
        <is>
          <t>Segment Assets — Transmission &amp; Distribution</t>
        </is>
      </c>
      <c r="B27" s="11" t="n">
        <v>32411.34</v>
      </c>
      <c r="C27" s="11" t="n">
        <v>37477.26</v>
      </c>
      <c r="D27" s="11" t="n">
        <v>42059.9</v>
      </c>
      <c r="E27" s="11" t="n">
        <v>45707.75</v>
      </c>
      <c r="F27" s="11" t="n">
        <v>53428.87</v>
      </c>
    </row>
    <row r="28">
      <c r="A28" s="15"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NO reportable segments under Ind AS 108</t>
        </is>
      </c>
    </row>
    <row r="32" ht="95" customHeight="1">
      <c r="A32" s="14"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9" t="inlineStr">
        <is>
          <t>Comparative analysis — who is doing well in which segment?</t>
        </is>
      </c>
    </row>
    <row r="39" ht="150" customHeight="1">
      <c r="A39" s="14"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6" t="inlineStr">
        <is>
          <t>Adani Power</t>
        </is>
      </c>
      <c r="B6" s="16" t="inlineStr">
        <is>
          <t>Mahan Energen Ltd (MEL)</t>
        </is>
      </c>
      <c r="C6" s="16" t="inlineStr">
        <is>
          <t>94% (per FY26 AOC-1 — earlier reported as 100%)</t>
        </is>
      </c>
      <c r="D6" s="16" t="inlineStr">
        <is>
          <t>1,200+ MW coal thermal, MP; ex-Essar Power MP (CIRP, Mar 2022). FY26: turnover ₹3,614cr, PAT ₹784cr.</t>
        </is>
      </c>
    </row>
    <row r="7" ht="45" customHeight="1">
      <c r="A7" s="16" t="inlineStr">
        <is>
          <t>Adani Power</t>
        </is>
      </c>
      <c r="B7" s="16" t="inlineStr">
        <is>
          <t>Korba Power Ltd (KPL, ex-Lanco Amarkantak)</t>
        </is>
      </c>
      <c r="C7" s="16" t="inlineStr">
        <is>
          <t>100%</t>
        </is>
      </c>
      <c r="D7" s="16" t="inlineStr">
        <is>
          <t>600 MW coal thermal, Chhattisgarh (CIRP, Sep 2024). FY26: turnover ₹1,552cr, PAT ₹354cr.</t>
        </is>
      </c>
    </row>
    <row r="8" ht="45" customHeight="1">
      <c r="A8" s="16" t="inlineStr">
        <is>
          <t>Adani Power</t>
        </is>
      </c>
      <c r="B8" s="16" t="inlineStr">
        <is>
          <t>Moxie Power Generation Ltd (ex-Coastal Energen)</t>
        </is>
      </c>
      <c r="C8" s="16" t="inlineStr">
        <is>
          <t>49% — but consolidated as a SUBSIDIARY in AOC-1 Part A (control basis), not a JV</t>
        </is>
      </c>
      <c r="D8" s="16" t="inlineStr">
        <is>
          <t>1,200 MW, Thoothukudi, Tamil Nadu. FY26: turnover ₹2,985cr, PAT ₹268cr. Listed in AOC-1 subsidiaries despite 49% equity — control established via arrangement with DAIT.</t>
        </is>
      </c>
    </row>
    <row r="9" ht="45" customHeight="1">
      <c r="A9" s="16" t="inlineStr">
        <is>
          <t>Adani Power</t>
        </is>
      </c>
      <c r="B9" s="16" t="inlineStr">
        <is>
          <t>Vidarbha Industries Power Ltd (VIPL)</t>
        </is>
      </c>
      <c r="C9" s="16" t="inlineStr">
        <is>
          <t>100% (acquired 07-Jul-2025)</t>
        </is>
      </c>
      <c r="D9" s="16" t="inlineStr">
        <is>
          <t>600 MW, Nagpur (CIRP). FY26: turnover ₹1,327cr, PAT ₹347cr.</t>
        </is>
      </c>
    </row>
    <row r="10" ht="45" customHeight="1">
      <c r="A10" s="16" t="inlineStr">
        <is>
          <t>Adani Power</t>
        </is>
      </c>
      <c r="B10" s="16" t="inlineStr">
        <is>
          <t>Adani Power Dahej Ltd / Pench Thermal Energy (MP) Ltd / Kutchh Power Generation Ltd</t>
        </is>
      </c>
      <c r="C10" s="16" t="inlineStr">
        <is>
          <t>100% each</t>
        </is>
      </c>
      <c r="D10" s="16" t="inlineStr">
        <is>
          <t>Greenfield thermal project SPVs (Dahej, Pench, Kutchh).</t>
        </is>
      </c>
    </row>
    <row r="11" ht="45" customHeight="1">
      <c r="A11" s="16" t="inlineStr">
        <is>
          <t>Adani Power</t>
        </is>
      </c>
      <c r="B11" s="16" t="inlineStr">
        <is>
          <t>Anuppur Thermal Energy (MP) / Mirzapur Thermal Energy (UP) / Orrisa Thermal Energy</t>
        </is>
      </c>
      <c r="C11" s="16" t="inlineStr">
        <is>
          <t>100% each (acquired/renamed 2024)</t>
        </is>
      </c>
      <c r="D11" s="16" t="inlineStr">
        <is>
          <t>New thermal project SPVs for capacity expansion (Anuppur, Mirzapur, Odisha sites).</t>
        </is>
      </c>
    </row>
    <row r="12" ht="45" customHeight="1">
      <c r="A12" s="16" t="inlineStr">
        <is>
          <t>Adani Power</t>
        </is>
      </c>
      <c r="B12" s="16" t="inlineStr">
        <is>
          <t>Mahan Fuel Management / Resurgent Fuel Management Ltd</t>
        </is>
      </c>
      <c r="C12" s="16" t="inlineStr">
        <is>
          <t>100% each</t>
        </is>
      </c>
      <c r="D12" s="16" t="inlineStr">
        <is>
          <t>Fuel sourcing/management SPVs.</t>
        </is>
      </c>
    </row>
    <row r="13" ht="45" customHeight="1">
      <c r="A13" s="16" t="inlineStr">
        <is>
          <t>Adani Power</t>
        </is>
      </c>
      <c r="B13" s="16" t="inlineStr">
        <is>
          <t>Alcedo / Chandenvalle / Emberiza Infra Park Ltd</t>
        </is>
      </c>
      <c r="C13" s="16" t="inlineStr">
        <is>
          <t>100% each</t>
        </is>
      </c>
      <c r="D13" s="16" t="inlineStr">
        <is>
          <t>Infrastructure park SPVs.</t>
        </is>
      </c>
    </row>
    <row r="14" ht="45" customHeight="1">
      <c r="A14" s="16" t="inlineStr">
        <is>
          <t>Adani Power</t>
        </is>
      </c>
      <c r="B14" s="16" t="inlineStr">
        <is>
          <t>Adani Atomic Energy Ltd (AAEL)</t>
        </is>
      </c>
      <c r="C14" s="16" t="inlineStr">
        <is>
          <t>100% (incorporated 11-Feb-2026)</t>
        </is>
      </c>
      <c r="D14" s="16" t="inlineStr">
        <is>
          <t>Nuclear power entry post SHANTI Act 2025.</t>
        </is>
      </c>
    </row>
    <row r="15" ht="45" customHeight="1">
      <c r="A15" s="16" t="inlineStr">
        <is>
          <t>Adani Power</t>
        </is>
      </c>
      <c r="B15" s="16" t="inlineStr">
        <is>
          <t>Adani Power Middle East Ltd (AED) / Adani Power Global Pte Ltd (US$)</t>
        </is>
      </c>
      <c r="C15" s="16" t="inlineStr">
        <is>
          <t>100% each (incorporated 2024)</t>
        </is>
      </c>
      <c r="D15" s="16" t="inlineStr">
        <is>
          <t>Overseas ventures (Middle East; Singapore trading/holding).</t>
        </is>
      </c>
    </row>
    <row r="16" ht="45" customHeight="1">
      <c r="A16" s="16" t="inlineStr">
        <is>
          <t>Adani Power</t>
        </is>
      </c>
      <c r="B16" s="16" t="inlineStr">
        <is>
          <t>Adani Power Resources Ltd</t>
        </is>
      </c>
      <c r="C16" s="16" t="inlineStr">
        <is>
          <t>51%</t>
        </is>
      </c>
      <c r="D16" s="16" t="inlineStr">
        <is>
          <t>Resource-related SPV (immaterial size).</t>
        </is>
      </c>
    </row>
    <row r="17" ht="45" customHeight="1">
      <c r="A17" s="16" t="inlineStr">
        <is>
          <t>Adani Power</t>
        </is>
      </c>
      <c r="B17" s="16" t="inlineStr">
        <is>
          <t>[TOTAL: 19 entities in FY26 AOC-1 Part A — fully verified]</t>
        </is>
      </c>
      <c r="C17" s="16" t="inlineStr">
        <is>
          <t>—</t>
        </is>
      </c>
      <c r="D17" s="16" t="inlineStr">
        <is>
          <t>The 6 operating cos (Adani Power Maharashtra/Rajasthan, Udupi, Raipur/Raigarh Energen, Adani Power (Mundra)) were amalgamated INTO the parent effective 1-Oct-2021 and no longer appear.</t>
        </is>
      </c>
    </row>
    <row r="18" ht="45" customHeight="1">
      <c r="A18" s="16" t="inlineStr">
        <is>
          <t>Tata Power</t>
        </is>
      </c>
      <c r="B18" s="16" t="inlineStr">
        <is>
          <t>Tata Power Renewable Energy Ltd (TPREL)</t>
        </is>
      </c>
      <c r="C18" s="16" t="inlineStr">
        <is>
          <t>88.57% (per FY26 AOC-1 — VERIFIED; not ~100% as earlier assumed)</t>
        </is>
      </c>
      <c r="D18" s="16" t="inlineStr">
        <is>
          <t>Renewables arm (solar/wind/rooftop/EV charging). FY26: turnover ₹11,748cr, PAT ₹1,268cr. ~11.4% held by BlackRock-led consortium since FY23 equity raise.</t>
        </is>
      </c>
    </row>
    <row r="19" ht="45" customHeight="1">
      <c r="A19" s="16" t="inlineStr">
        <is>
          <t>Tata Power</t>
        </is>
      </c>
      <c r="B19" s="16" t="inlineStr">
        <is>
          <t>Tata Power Delhi Distribution Ltd (Tata Power-DDL)</t>
        </is>
      </c>
      <c r="C19" s="16" t="inlineStr">
        <is>
          <t>51% (VERIFIED per FY26 AOC-1)</t>
        </is>
      </c>
      <c r="D19" s="16" t="inlineStr">
        <is>
          <t>North Delhi discom (JV with Delhi Govt). FY26: turnover ₹10,426cr, PAT ₹1,299cr.</t>
        </is>
      </c>
    </row>
    <row r="20" ht="45" customHeight="1">
      <c r="A20" s="16" t="inlineStr">
        <is>
          <t>Tata Power</t>
        </is>
      </c>
      <c r="B20" s="16" t="inlineStr">
        <is>
          <t>TP Central / Western / Southern / Northern Odisha Distribution Ltds</t>
        </is>
      </c>
      <c r="C20" s="16" t="inlineStr">
        <is>
          <t>51% each (VERIFIED)</t>
        </is>
      </c>
      <c r="D20" s="16" t="inlineStr">
        <is>
          <t>Four Odisha discoms (PPP, 2020-21). FY26 turnover: TPCODL ₹6,313cr, TPWODL ₹6,355cr, TPSODL ₹2,542cr, TPNODL ₹4,769cr; all PAT-positive.</t>
        </is>
      </c>
    </row>
    <row r="21" ht="45" customHeight="1">
      <c r="A21" s="16" t="inlineStr">
        <is>
          <t>Tata Power</t>
        </is>
      </c>
      <c r="B21" s="16" t="inlineStr">
        <is>
          <t>Tata Power Solar Systems Ltd (TPSSL)</t>
        </is>
      </c>
      <c r="C21" s="16" t="inlineStr">
        <is>
          <t>In AOC-1 (100%, via TPREL structure)</t>
        </is>
      </c>
      <c r="D21" s="16" t="inlineStr">
        <is>
          <t>Solar cell/module manufacturing + EPC.</t>
        </is>
      </c>
    </row>
    <row r="22" ht="45" customHeight="1">
      <c r="A22" s="16" t="inlineStr">
        <is>
          <t>Tata Power</t>
        </is>
      </c>
      <c r="B22" s="16" t="inlineStr">
        <is>
          <t>Coastal Gujarat Power Ltd (CGPL) — NOTE</t>
        </is>
      </c>
      <c r="C22" s="16" t="inlineStr">
        <is>
          <t>Merged into parent, 1-Apr-2020</t>
        </is>
      </c>
      <c r="D22" s="16" t="inlineStr">
        <is>
          <t>Mundra UMPP is now a direct Generation-segment asset, not a subsidiary.</t>
        </is>
      </c>
    </row>
    <row r="23" ht="45" customHeight="1">
      <c r="A23" s="16" t="inlineStr">
        <is>
          <t>Tata Power</t>
        </is>
      </c>
      <c r="B23" s="16" t="inlineStr">
        <is>
          <t>[TOTAL: ~113 entities in FY26 AOC-1 Part A]</t>
        </is>
      </c>
      <c r="C23" s="16" t="inlineStr">
        <is>
          <t>—</t>
        </is>
      </c>
      <c r="D23" s="16" t="inlineStr">
        <is>
          <t>Includes dozens of renewable/transmission SPVs under TPREL and Resurgent Power Ventures; full list in FY26 Annual Report pg. 666+ (AOC-1).</t>
        </is>
      </c>
    </row>
    <row r="24" ht="45" customHeight="1">
      <c r="A24" s="16" t="inlineStr">
        <is>
          <t>Torrent Power</t>
        </is>
      </c>
      <c r="B24" s="16" t="inlineStr">
        <is>
          <t>Torrent Power Grid Ltd</t>
        </is>
      </c>
      <c r="C24" s="16" t="inlineStr">
        <is>
          <t>74% (VERIFIED; PowerGrid Corp holds 26%)</t>
        </is>
      </c>
      <c r="D24" s="16" t="inlineStr">
        <is>
          <t>Interstate power transmission JV-structured subsidiary.</t>
        </is>
      </c>
    </row>
    <row r="25" ht="45" customHeight="1">
      <c r="A25" s="16" t="inlineStr">
        <is>
          <t>Torrent Power</t>
        </is>
      </c>
      <c r="B25" s="16" t="inlineStr">
        <is>
          <t>Transmission SPVs (Solapur Transmission Ltd &amp; 4 others at 74%)</t>
        </is>
      </c>
      <c r="C25" s="16" t="inlineStr">
        <is>
          <t>74% each (per FY26 AOC-1)</t>
        </is>
      </c>
      <c r="D25" s="16" t="inlineStr">
        <is>
          <t>Intra/interstate transmission project SPVs.</t>
        </is>
      </c>
    </row>
    <row r="26" ht="45" customHeight="1">
      <c r="A26" s="16" t="inlineStr">
        <is>
          <t>Torrent Power</t>
        </is>
      </c>
      <c r="B26" s="16" t="inlineStr">
        <is>
          <t>Torrent Pipavav Generation Ltd</t>
        </is>
      </c>
      <c r="C26" s="16" t="inlineStr">
        <is>
          <t>95% (VERIFIED)</t>
        </is>
      </c>
      <c r="D26" s="16" t="inlineStr">
        <is>
          <t>Power generation project, Pipavav.</t>
        </is>
      </c>
    </row>
    <row r="27" ht="45" customHeight="1">
      <c r="A27" s="16" t="inlineStr">
        <is>
          <t>Torrent Power</t>
        </is>
      </c>
      <c r="B27" s="16" t="inlineStr">
        <is>
          <t>Dadra &amp; Nagar Haveli and Daman &amp; Diu Power Distribution Corp Ltd</t>
        </is>
      </c>
      <c r="C27" s="16" t="inlineStr">
        <is>
          <t>51% (VERIFIED)</t>
        </is>
      </c>
      <c r="D27" s="16" t="inlineStr">
        <is>
          <t>UT power distribution licensee (acquired Apr 2022).</t>
        </is>
      </c>
    </row>
    <row r="28" ht="45" customHeight="1">
      <c r="A28" s="16" t="inlineStr">
        <is>
          <t>Torrent Power</t>
        </is>
      </c>
      <c r="B28" s="16" t="inlineStr">
        <is>
          <t>Nabha Power Ltd</t>
        </is>
      </c>
      <c r="C28" s="16" t="inlineStr">
        <is>
          <t>100% (acquired Jun 2026)</t>
        </is>
      </c>
      <c r="D28" s="16" t="inlineStr">
        <is>
          <t>2x700 MW supercritical coal plant, Punjab (from L&amp;T).</t>
        </is>
      </c>
    </row>
    <row r="29" ht="45" customHeight="1">
      <c r="A29" s="16" t="inlineStr">
        <is>
          <t>Torrent Power</t>
        </is>
      </c>
      <c r="B29" s="16" t="inlineStr">
        <is>
          <t>Torrent Solargen, Latur Renewable, Surya Vidyut, Torrent Akshay Urja, Jodhpur Wind Farms, MSKVY solar SPVs, Torrent Electricals, Newzone India, etc.</t>
        </is>
      </c>
      <c r="C29" s="16" t="inlineStr">
        <is>
          <t>100% each</t>
        </is>
      </c>
      <c r="D29" s="16" t="inlineStr">
        <is>
          <t>Renewable generation SPVs (solar/wind incl. Maharashtra MSKVY series), cables/electricals, and other ventures.</t>
        </is>
      </c>
    </row>
    <row r="30" ht="45" customHeight="1">
      <c r="A30" s="16" t="inlineStr">
        <is>
          <t>Torrent Power</t>
        </is>
      </c>
      <c r="B30" s="16" t="inlineStr">
        <is>
          <t>[TOTAL: ~60 entities in FY26 AOC-1 — 53 at 100%, 5 at 74%, 1 at 95%, 1 at 51%]</t>
        </is>
      </c>
      <c r="C30" s="16" t="inlineStr">
        <is>
          <t>—</t>
        </is>
      </c>
      <c r="D30" s="16" t="inlineStr">
        <is>
          <t>Verified from the FY26 Annual Report AOC-1 statement.</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6" t="inlineStr">
        <is>
          <t>Adani Power</t>
        </is>
      </c>
      <c r="B6" s="16" t="inlineStr">
        <is>
          <t>Wangchhu Hydroelectric Power Ltd (Bhutan)</t>
        </is>
      </c>
      <c r="C6" s="16" t="inlineStr">
        <is>
          <t>JV (per FY26 AOC-1 Part B — the Group's only listed associate/JV)</t>
        </is>
      </c>
      <c r="D6" s="16" t="inlineStr">
        <is>
          <t>570 MW Wangchhu hydro project JV with Druk Green Power Corp (~₹6,000 cr); Shareholders Agreement Sep 2025; 'yet to commence operations' per AOC-1. VERIFIED.</t>
        </is>
      </c>
    </row>
    <row r="7" ht="45" customHeight="1">
      <c r="A7" s="16" t="inlineStr">
        <is>
          <t>Adani Power</t>
        </is>
      </c>
      <c r="B7" s="16" t="inlineStr">
        <is>
          <t>Moxie Power Generation Ltd — RECLASSIFIED</t>
        </is>
      </c>
      <c r="C7" s="16" t="inlineStr">
        <is>
          <t>49% equity but consolidated as SUBSIDIARY (see Sheet 7)</t>
        </is>
      </c>
      <c r="D7" s="16" t="inlineStr">
        <is>
          <t>CORRECTION: earlier flagged as a JV; the FY26 AOC-1 lists it under Part A (Subsidiaries) — Adani has control despite 49% equity.</t>
        </is>
      </c>
    </row>
    <row r="8" ht="45" customHeight="1">
      <c r="A8" s="16" t="inlineStr">
        <is>
          <t>Adani Power</t>
        </is>
      </c>
      <c r="B8" s="16" t="inlineStr">
        <is>
          <t>Jaiprakash Power Ventures Ltd (JPVL)</t>
        </is>
      </c>
      <c r="C8" s="16" t="inlineStr">
        <is>
          <t>24% (indirect, via resolution plan)</t>
        </is>
      </c>
      <c r="D8" s="16" t="inlineStr">
        <is>
          <t>Adani Power as 'Implementing Entity'; NCLT-approved ~Mar 2026 (~₹14,535 cr). Not yet in FY26 AOC-1 Part B (transaction completing post year-end).</t>
        </is>
      </c>
    </row>
    <row r="9" ht="45" customHeight="1">
      <c r="A9" s="16" t="inlineStr">
        <is>
          <t>Tata Power</t>
        </is>
      </c>
      <c r="B9" s="16" t="inlineStr">
        <is>
          <t>Tata Projects, Resurgent Power Ventures (26%), industrial JVs &amp; associates</t>
        </is>
      </c>
      <c r="C9" s="16" t="inlineStr">
        <is>
          <t>Various</t>
        </is>
      </c>
      <c r="D9" s="16" t="inlineStr">
        <is>
          <t>Tata Power holds numerous associates/JVs (share of profit ₹708cr FY26, ₹793cr FY25 per consolidated P&amp;L); full Part B list in FY26 Annual Report AOC-1.</t>
        </is>
      </c>
    </row>
    <row r="10" ht="45" customHeight="1">
      <c r="A10" s="16" t="inlineStr">
        <is>
          <t>Tata Power</t>
        </is>
      </c>
      <c r="B10" s="16" t="inlineStr">
        <is>
          <t>Dorjilung Hydro Power Ltd (Bhutan)</t>
        </is>
      </c>
      <c r="C10" s="16" t="inlineStr">
        <is>
          <t>Stake not disclosed in extract</t>
        </is>
      </c>
      <c r="D10" s="16" t="inlineStr">
        <is>
          <t>1,125 MW hydro project under development with Druk Green.</t>
        </is>
      </c>
    </row>
    <row r="11" ht="45" customHeight="1">
      <c r="A11" s="16" t="inlineStr">
        <is>
          <t>Torrent Power</t>
        </is>
      </c>
      <c r="B11" s="16" t="inlineStr">
        <is>
          <t>Associates (2 per earlier AOC-1 references)</t>
        </is>
      </c>
      <c r="C11" s="16" t="inlineStr">
        <is>
          <t>Not extracted</t>
        </is>
      </c>
      <c r="D11" s="16"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6" t="inlineStr">
        <is>
          <t>Adani Power</t>
        </is>
      </c>
      <c r="B6" s="16"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6" t="inlineStr">
        <is>
          <t>VERIFIED (FY23 Annual Report)</t>
        </is>
      </c>
    </row>
    <row r="7" ht="70" customHeight="1">
      <c r="A7" s="16" t="inlineStr">
        <is>
          <t>Tata Power</t>
        </is>
      </c>
      <c r="B7" s="16"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6" t="inlineStr">
        <is>
          <t>VERIFIED (FY23 Annual Report) — replaces earlier unverified figure</t>
        </is>
      </c>
    </row>
    <row r="8" ht="70" customHeight="1">
      <c r="A8" s="16" t="inlineStr">
        <is>
          <t>Torrent Power</t>
        </is>
      </c>
      <c r="B8" s="16"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6" t="inlineStr">
        <is>
          <t>VERIFIED CONSOLIDATED (FY23 Annual Report) — corrected from standalone</t>
        </is>
      </c>
    </row>
    <row r="10">
      <c r="A10" s="21"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6" t="inlineStr">
        <is>
          <t>Adani Power</t>
        </is>
      </c>
      <c r="B6" s="16" t="inlineStr">
        <is>
          <t>Jan 2024</t>
        </is>
      </c>
      <c r="C6" s="16" t="inlineStr">
        <is>
          <t>CRISIL upgraded bank-facility rating to AA-/Stable from A/Stable</t>
        </is>
      </c>
      <c r="D6" s="16" t="inlineStr">
        <is>
          <t>—</t>
        </is>
      </c>
    </row>
    <row r="7" ht="55" customHeight="1">
      <c r="A7" s="16" t="inlineStr">
        <is>
          <t>Adani Power</t>
        </is>
      </c>
      <c r="B7" s="16" t="inlineStr">
        <is>
          <t>Feb 2025</t>
        </is>
      </c>
      <c r="C7" s="16" t="inlineStr">
        <is>
          <t>CRISIL upgraded to AA/Stable from AA-/Positive on ₹38,000 cr long-term bank facilities; assigned AA/Stable to proposed NCDs</t>
        </is>
      </c>
      <c r="D7" s="16" t="inlineStr">
        <is>
          <t>38,000 (facilities); 11,000 (proposed NCDs)</t>
        </is>
      </c>
    </row>
    <row r="8" ht="55" customHeight="1">
      <c r="A8" s="16" t="inlineStr">
        <is>
          <t>Adani Power</t>
        </is>
      </c>
      <c r="B8" s="16" t="inlineStr">
        <is>
          <t>FY22→FY24</t>
        </is>
      </c>
      <c r="C8" s="16" t="inlineStr">
        <is>
          <t>Deleveraging: net debt/EBITDA fell from ~4.0x (Mar-22) to 3.3x (Mar-23) to 1.4x (Mar-24)</t>
        </is>
      </c>
      <c r="D8" s="16" t="inlineStr">
        <is>
          <t>Net debt ~26,270-26,545 (Q4 FY24)</t>
        </is>
      </c>
    </row>
    <row r="9" ht="55" customHeight="1">
      <c r="A9" s="16" t="inlineStr">
        <is>
          <t>Adani Power</t>
        </is>
      </c>
      <c r="B9" s="16" t="inlineStr">
        <is>
          <t>FY24→FY25</t>
        </is>
      </c>
      <c r="C9" s="16" t="inlineStr">
        <is>
          <t>Shareholders' funds grew from ₹43,145 cr (31-Mar-24) to ₹56,347 cr (31-Mar-25)</t>
        </is>
      </c>
      <c r="D9" s="16" t="inlineStr">
        <is>
          <t>+13,202</t>
        </is>
      </c>
    </row>
    <row r="10" ht="55" customHeight="1">
      <c r="A10" s="16" t="inlineStr">
        <is>
          <t>Adani Power</t>
        </is>
      </c>
      <c r="B10" s="16" t="inlineStr">
        <is>
          <t>1-Aug-2025 / 22-Sep-2025</t>
        </is>
      </c>
      <c r="C10" s="16" t="inlineStr">
        <is>
          <t>1:5 stock split announced / effective (face value ₹10 → ₹2) — capital structure change, not a capital raise</t>
        </is>
      </c>
      <c r="D10" s="16" t="inlineStr">
        <is>
          <t>—</t>
        </is>
      </c>
    </row>
    <row r="11" ht="55" customHeight="1">
      <c r="A11" s="16" t="inlineStr">
        <is>
          <t>Tata Power</t>
        </is>
      </c>
      <c r="B11" s="16" t="inlineStr">
        <is>
          <t>30-Jul-2020</t>
        </is>
      </c>
      <c r="C11" s="16" t="inlineStr">
        <is>
          <t>₹2,600 cr preferential allotment of ~49.06 cr shares to promoter Tata Sons at ₹53/share, to cut debt &amp; fund capex; raised promoter stake 35.27%→45.21%</t>
        </is>
      </c>
      <c r="D11" s="16" t="inlineStr">
        <is>
          <t>2,600</t>
        </is>
      </c>
    </row>
    <row r="12" ht="55" customHeight="1">
      <c r="A12" s="16" t="inlineStr">
        <is>
          <t>Tata Power</t>
        </is>
      </c>
      <c r="B12" s="16" t="inlineStr">
        <is>
          <t>Apr-2024</t>
        </is>
      </c>
      <c r="C12" s="16" t="inlineStr">
        <is>
          <t>CRISIL upgraded to AA+/Stable from AA/Positive, citing improved generation/distribution profitability</t>
        </is>
      </c>
      <c r="D12" s="16" t="inlineStr">
        <is>
          <t>—</t>
        </is>
      </c>
    </row>
    <row r="13" ht="55" customHeight="1">
      <c r="A13" s="16" t="inlineStr">
        <is>
          <t>Tata Power</t>
        </is>
      </c>
      <c r="B13" s="16" t="inlineStr">
        <is>
          <t>FY22→FY24</t>
        </is>
      </c>
      <c r="C13" s="16" t="inlineStr">
        <is>
          <t>Deleveraging: net debt/EBITDA fell from ~4.5x (FY22) to 3.8x (FY23), sustained &lt;4.0x through FY24; debtor days improved from &gt;150 to ~102 days</t>
        </is>
      </c>
      <c r="D13" s="16" t="inlineStr">
        <is>
          <t>—</t>
        </is>
      </c>
    </row>
    <row r="14" ht="55" customHeight="1">
      <c r="A14" s="16" t="inlineStr">
        <is>
          <t>Torrent Power</t>
        </is>
      </c>
      <c r="B14" s="16" t="inlineStr">
        <is>
          <t>Dec-2024</t>
        </is>
      </c>
      <c r="C14" s="16" t="inlineStr">
        <is>
          <t>Maiden QIP — ₹3,500 cr raised at ₹1,503/share (~2.32 cr shares); first Torrent Group equity raise in ~3 decades; ~4x oversubscribed (bids ~₹14,000 cr)</t>
        </is>
      </c>
      <c r="D14" s="16" t="inlineStr">
        <is>
          <t>3,500</t>
        </is>
      </c>
    </row>
    <row r="15" ht="55" customHeight="1">
      <c r="A15" s="16" t="inlineStr">
        <is>
          <t>Torrent Power</t>
        </is>
      </c>
      <c r="B15" s="16" t="inlineStr">
        <is>
          <t>Apr-2022</t>
        </is>
      </c>
      <c r="C15" s="16" t="inlineStr">
        <is>
          <t>Series 8 NCDs — ₹600 cr (coupons 6.20%-7.45% across tenors)</t>
        </is>
      </c>
      <c r="D15" s="16" t="inlineStr">
        <is>
          <t>600</t>
        </is>
      </c>
    </row>
    <row r="16" ht="55" customHeight="1">
      <c r="A16" s="16" t="inlineStr">
        <is>
          <t>Torrent Power</t>
        </is>
      </c>
      <c r="B16" s="16" t="inlineStr">
        <is>
          <t>Mar-2026</t>
        </is>
      </c>
      <c r="C16" s="16" t="inlineStr">
        <is>
          <t>NCD issuance, 8/9/10-yr tenor</t>
        </is>
      </c>
      <c r="D16" s="16" t="inlineStr">
        <is>
          <t>2,000</t>
        </is>
      </c>
    </row>
    <row r="17" ht="55" customHeight="1">
      <c r="A17" s="16" t="inlineStr">
        <is>
          <t>Torrent Power</t>
        </is>
      </c>
      <c r="B17" s="16" t="inlineStr">
        <is>
          <t>Jun-2026</t>
        </is>
      </c>
      <c r="C17" s="16" t="inlineStr">
        <is>
          <t>NCDs across 4 tranches (3-10yr, coupons 8.10%-8.20%); board also sanctioned up to ₹10,000 cr NCD private placement tied to an ₹80,000 cr 5-yr capex plan</t>
        </is>
      </c>
      <c r="D17" s="16" t="inlineStr">
        <is>
          <t>3,800 (allotted); up to 10,000 (sanctioned)</t>
        </is>
      </c>
    </row>
    <row r="18" ht="55" customHeight="1">
      <c r="A18" s="16" t="inlineStr">
        <is>
          <t>Torrent Power</t>
        </is>
      </c>
      <c r="B18" s="16" t="inlineStr">
        <is>
          <t>Dec-2023 / Feb-2024 / Feb-2025</t>
        </is>
      </c>
      <c r="C18" s="16" t="inlineStr">
        <is>
          <t>CRISIL reaffirmed AA+/Stable (LT) and A1+ (ST) at each review; net debt/EBITDA improved 2.20x (FY24) → 1.40x (FY25)</t>
        </is>
      </c>
      <c r="D18" s="16"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54 weekly points per series. Nifty Energy = sector index. Nifty 50 column pending (see note).</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s="16" t="inlineStr">
        <is>
          <t>Price at start (14-Jul-2025, adj)</t>
        </is>
      </c>
      <c r="B6" s="16" t="inlineStr">
        <is>
          <t>118.93</t>
        </is>
      </c>
      <c r="C6" s="16" t="inlineStr">
        <is>
          <t>405.39</t>
        </is>
      </c>
      <c r="D6" s="16" t="inlineStr">
        <is>
          <t>1,349.89</t>
        </is>
      </c>
      <c r="E6" s="16" t="inlineStr">
        <is>
          <t>36,231.65</t>
        </is>
      </c>
      <c r="F6" s="16" t="inlineStr">
        <is>
          <t>24,968.40</t>
        </is>
      </c>
    </row>
    <row r="7" ht="26" customHeight="1">
      <c r="A7" s="16" t="inlineStr">
        <is>
          <t>Price at end (15-Jul-2026)</t>
        </is>
      </c>
      <c r="B7" s="16" t="inlineStr">
        <is>
          <t>218.97</t>
        </is>
      </c>
      <c r="C7" s="16" t="inlineStr">
        <is>
          <t>380.90</t>
        </is>
      </c>
      <c r="D7" s="16" t="inlineStr">
        <is>
          <t>1,441.10</t>
        </is>
      </c>
      <c r="E7" s="16" t="inlineStr">
        <is>
          <t>39,381.25</t>
        </is>
      </c>
      <c r="F7" s="16" t="inlineStr">
        <is>
          <t>24,078.50</t>
        </is>
      </c>
    </row>
    <row r="8" ht="26" customHeight="1">
      <c r="A8" s="16" t="inlineStr">
        <is>
          <t>52-week weekly-close range</t>
        </is>
      </c>
      <c r="B8" s="16" t="inlineStr">
        <is>
          <t>113.40 - 243.37</t>
        </is>
      </c>
      <c r="C8" s="16" t="inlineStr">
        <is>
          <t>343.12 - 441.81</t>
        </is>
      </c>
      <c r="D8" s="16" t="inlineStr">
        <is>
          <t>1,204.41 - 1,730.01</t>
        </is>
      </c>
      <c r="E8" s="16" t="inlineStr">
        <is>
          <t>33,098.30 - 40,878.00</t>
        </is>
      </c>
      <c r="F8" s="16" t="inlineStr">
        <is>
          <t>22,713.10 - 26,328.55</t>
        </is>
      </c>
    </row>
    <row r="9" ht="26" customHeight="1">
      <c r="A9" s="16" t="inlineStr">
        <is>
          <t>1-year return (COMPUTED)</t>
        </is>
      </c>
      <c r="B9" s="16" t="inlineStr">
        <is>
          <t>+84.1%</t>
        </is>
      </c>
      <c r="C9" s="16" t="inlineStr">
        <is>
          <t>-6.0%</t>
        </is>
      </c>
      <c r="D9" s="16" t="inlineStr">
        <is>
          <t>+6.8%</t>
        </is>
      </c>
      <c r="E9" s="16" t="inlineStr">
        <is>
          <t>+8.7%</t>
        </is>
      </c>
      <c r="F9" s="16" t="inlineStr">
        <is>
          <t>-3.6%</t>
        </is>
      </c>
    </row>
    <row r="10" ht="26" customHeight="1">
      <c r="A10" s="16" t="inlineStr">
        <is>
          <t>Weekly return std dev (COMPUTED)</t>
        </is>
      </c>
      <c r="B10" s="16" t="inlineStr">
        <is>
          <t>4.95%</t>
        </is>
      </c>
      <c r="C10" s="16" t="inlineStr">
        <is>
          <t>2.90%</t>
        </is>
      </c>
      <c r="D10" s="16" t="inlineStr">
        <is>
          <t>4.55%</t>
        </is>
      </c>
      <c r="E10" s="16" t="inlineStr">
        <is>
          <t>2.30%</t>
        </is>
      </c>
      <c r="F10" s="16" t="inlineStr">
        <is>
          <t>1.70%</t>
        </is>
      </c>
    </row>
    <row r="11" ht="26" customHeight="1">
      <c r="A11" s="16" t="inlineStr">
        <is>
          <t>Annualized volatility = sd x sqrt(52)</t>
        </is>
      </c>
      <c r="B11" s="16" t="inlineStr">
        <is>
          <t>35.7%</t>
        </is>
      </c>
      <c r="C11" s="16" t="inlineStr">
        <is>
          <t>20.9%</t>
        </is>
      </c>
      <c r="D11" s="16" t="inlineStr">
        <is>
          <t>32.8%</t>
        </is>
      </c>
      <c r="E11" s="16" t="inlineStr">
        <is>
          <t>16.6%</t>
        </is>
      </c>
      <c r="F11" s="16" t="inlineStr">
        <is>
          <t>12.3%</t>
        </is>
      </c>
    </row>
    <row r="12" ht="26" customHeight="1">
      <c r="A12" s="16" t="inlineStr">
        <is>
          <t>Beta vs Nifty 50 / market (COMPUTED)</t>
        </is>
      </c>
      <c r="B12" s="16" t="inlineStr">
        <is>
          <t>1.13</t>
        </is>
      </c>
      <c r="C12" s="16" t="inlineStr">
        <is>
          <t>0.62</t>
        </is>
      </c>
      <c r="D12" s="16" t="inlineStr">
        <is>
          <t>1.46</t>
        </is>
      </c>
      <c r="E12" s="16" t="inlineStr">
        <is>
          <t>0.03</t>
        </is>
      </c>
      <c r="F12" s="16" t="inlineStr">
        <is>
          <t>1.00</t>
        </is>
      </c>
    </row>
    <row r="13" ht="26" customHeight="1">
      <c r="A13" s="16" t="inlineStr">
        <is>
          <t>Beta vs Nifty Energy / sector (COMPUTED)</t>
        </is>
      </c>
      <c r="B13" s="16" t="inlineStr">
        <is>
          <t>0.54</t>
        </is>
      </c>
      <c r="C13" s="16" t="inlineStr">
        <is>
          <t>0.03</t>
        </is>
      </c>
      <c r="D13" s="16" t="inlineStr">
        <is>
          <t>0.30</t>
        </is>
      </c>
      <c r="E13" s="16" t="inlineStr">
        <is>
          <t>1.00</t>
        </is>
      </c>
      <c r="F13" s="16" t="inlineStr">
        <is>
          <t>n/a</t>
        </is>
      </c>
    </row>
    <row r="14" ht="26" customHeight="1">
      <c r="A14" s="16" t="inlineStr">
        <is>
          <t>Return vs market (stock - Nifty 50)</t>
        </is>
      </c>
      <c r="B14" s="16" t="inlineStr">
        <is>
          <t>+87.7 pts</t>
        </is>
      </c>
      <c r="C14" s="16" t="inlineStr">
        <is>
          <t>-2.5 pts</t>
        </is>
      </c>
      <c r="D14" s="16" t="inlineStr">
        <is>
          <t>+10.3 pts</t>
        </is>
      </c>
      <c r="E14" s="16" t="inlineStr">
        <is>
          <t>+12.3 pts</t>
        </is>
      </c>
      <c r="F14" s="16" t="inlineStr">
        <is>
          <t>—</t>
        </is>
      </c>
    </row>
    <row r="15" ht="26" customHeight="1">
      <c r="A15" s="16" t="inlineStr">
        <is>
          <t>Return vs sector (stock - Nifty Energy)</t>
        </is>
      </c>
      <c r="B15" s="16" t="inlineStr">
        <is>
          <t>+75.4 pts</t>
        </is>
      </c>
      <c r="C15" s="16" t="inlineStr">
        <is>
          <t>-14.7 pts</t>
        </is>
      </c>
      <c r="D15" s="16" t="inlineStr">
        <is>
          <t>-1.9 pts</t>
        </is>
      </c>
      <c r="E15" s="16" t="inlineStr">
        <is>
          <t>—</t>
        </is>
      </c>
      <c r="F15" s="16" t="inlineStr">
        <is>
          <t>—</t>
        </is>
      </c>
    </row>
    <row r="17">
      <c r="A17" s="22" t="inlineStr">
        <is>
          <t>Data note</t>
        </is>
      </c>
    </row>
    <row r="18" ht="60" customHeight="1">
      <c r="A18" s="14" t="inlineStr">
        <is>
          <t>COMPLETE: all five series (3 stocks + Nifty 50 + Nifty Energy) parsed from the Yahoo Finance Historical Data pages saved in the repo (54 weekly adjusted-close points each,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54 weekly observations, split-adjusted): ADANI POWER is the most volatile of the three — weekly-return standard deviation 4.95% (annualized ~36%), vs Torrent Power 4.55% (~33%) and Tata Power 2.90% (~21%). The sector index (Nifty Energy) sat at 2.30% weekly (~17% annualized) — all three stocks were roughly 1.3-2.2x as volatile as their sector index. RETURNS: Adani Power massively outperformed (+84% vs the sector's +9%), Torrent Power roughly tracked the sector (+6.8%), and Tata Power underperformed (-6.0%). Note the LOW computed betas vs Nifty Energy (0.03-0.54): Nifty Energy is dominated by Reliance/ONGC (oil &amp; gas), so these power stocks move on company-specific news far more than on the 'sector' index — high volatility with low index correlation. Interpret beta accordingly. VS THE MARKET: Nifty 50 fell -3.6% over the window, so all three power stocks outperformed the broad market (Adani by ~88 points); market betas vs Nifty 50 are 1.13 (Adani), 0.62 (Tata) and 1.46 (Torrent).</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Adani (base=100)</t>
        </is>
      </c>
      <c r="L1" t="inlineStr">
        <is>
          <t>Tata (base=100)</t>
        </is>
      </c>
      <c r="M1" t="inlineStr">
        <is>
          <t>Torrent (base=100)</t>
        </is>
      </c>
      <c r="N1" t="inlineStr">
        <is>
          <t>NiftyEnergy (base=100)</t>
        </is>
      </c>
    </row>
    <row r="2">
      <c r="A2" t="inlineStr">
        <is>
          <t>2025-07-14</t>
        </is>
      </c>
      <c r="B2" t="n">
        <v>118.93</v>
      </c>
      <c r="C2" t="n">
        <v>405.39</v>
      </c>
      <c r="D2" t="n">
        <v>1349.89</v>
      </c>
      <c r="E2" t="n">
        <v>36231.65</v>
      </c>
      <c r="F2" t="n">
        <v>24968.4</v>
      </c>
      <c r="K2" t="n">
        <v>100</v>
      </c>
      <c r="L2" t="n">
        <v>100</v>
      </c>
      <c r="M2" t="n">
        <v>100</v>
      </c>
      <c r="N2" t="n">
        <v>100</v>
      </c>
    </row>
    <row r="3">
      <c r="A3" t="inlineStr">
        <is>
          <t>2025-07-21</t>
        </is>
      </c>
      <c r="B3" t="n">
        <v>114</v>
      </c>
      <c r="C3" t="n">
        <v>392.92</v>
      </c>
      <c r="D3" t="n">
        <v>1307.38</v>
      </c>
      <c r="E3" t="n">
        <v>35250.5</v>
      </c>
      <c r="F3" t="n">
        <v>24837</v>
      </c>
      <c r="G3" t="n">
        <v>-0.041453</v>
      </c>
      <c r="H3" t="n">
        <v>-0.030761</v>
      </c>
      <c r="I3" t="n">
        <v>-0.031491</v>
      </c>
      <c r="J3" t="n">
        <v>-0.02708</v>
      </c>
      <c r="K3" t="n">
        <v>95.84999999999999</v>
      </c>
      <c r="L3" t="n">
        <v>96.92</v>
      </c>
      <c r="M3" t="n">
        <v>96.84999999999999</v>
      </c>
      <c r="N3" t="n">
        <v>97.29000000000001</v>
      </c>
    </row>
    <row r="4">
      <c r="A4" t="inlineStr">
        <is>
          <t>2025-07-28</t>
        </is>
      </c>
      <c r="B4" t="n">
        <v>113.4</v>
      </c>
      <c r="C4" t="n">
        <v>386.9</v>
      </c>
      <c r="D4" t="n">
        <v>1270.59</v>
      </c>
      <c r="E4" t="n">
        <v>34889</v>
      </c>
      <c r="F4" t="n">
        <v>24565.35</v>
      </c>
      <c r="G4" t="n">
        <v>-0.005263</v>
      </c>
      <c r="H4" t="n">
        <v>-0.015321</v>
      </c>
      <c r="I4" t="n">
        <v>-0.02814</v>
      </c>
      <c r="J4" t="n">
        <v>-0.010255</v>
      </c>
      <c r="K4" t="n">
        <v>95.34999999999999</v>
      </c>
      <c r="L4" t="n">
        <v>95.44</v>
      </c>
      <c r="M4" t="n">
        <v>94.13</v>
      </c>
      <c r="N4" t="n">
        <v>96.29000000000001</v>
      </c>
    </row>
    <row r="5">
      <c r="A5" t="inlineStr">
        <is>
          <t>2025-08-04</t>
        </is>
      </c>
      <c r="B5" t="n">
        <v>115.38</v>
      </c>
      <c r="C5" t="n">
        <v>376.47</v>
      </c>
      <c r="D5" t="n">
        <v>1317.54</v>
      </c>
      <c r="E5" t="n">
        <v>34391.95</v>
      </c>
      <c r="F5" t="n">
        <v>24363.3</v>
      </c>
      <c r="G5" t="n">
        <v>0.01746</v>
      </c>
      <c r="H5" t="n">
        <v>-0.026958</v>
      </c>
      <c r="I5" t="n">
        <v>0.036951</v>
      </c>
      <c r="J5" t="n">
        <v>-0.014247</v>
      </c>
      <c r="K5" t="n">
        <v>97.02</v>
      </c>
      <c r="L5" t="n">
        <v>92.87</v>
      </c>
      <c r="M5" t="n">
        <v>97.59999999999999</v>
      </c>
      <c r="N5" t="n">
        <v>94.92</v>
      </c>
    </row>
    <row r="6">
      <c r="A6" t="inlineStr">
        <is>
          <t>2025-08-11</t>
        </is>
      </c>
      <c r="B6" t="n">
        <v>116.81</v>
      </c>
      <c r="C6" t="n">
        <v>382.93</v>
      </c>
      <c r="D6" t="n">
        <v>1311.42</v>
      </c>
      <c r="E6" t="n">
        <v>34469.05</v>
      </c>
      <c r="F6" t="n">
        <v>24631.3</v>
      </c>
      <c r="G6" t="n">
        <v>0.012394</v>
      </c>
      <c r="H6" t="n">
        <v>0.017159</v>
      </c>
      <c r="I6" t="n">
        <v>-0.004645</v>
      </c>
      <c r="J6" t="n">
        <v>0.002242</v>
      </c>
      <c r="K6" t="n">
        <v>98.22</v>
      </c>
      <c r="L6" t="n">
        <v>94.45999999999999</v>
      </c>
      <c r="M6" t="n">
        <v>97.15000000000001</v>
      </c>
      <c r="N6" t="n">
        <v>95.14</v>
      </c>
    </row>
    <row r="7">
      <c r="A7" t="inlineStr">
        <is>
          <t>2025-08-18</t>
        </is>
      </c>
      <c r="B7" t="n">
        <v>118.86</v>
      </c>
      <c r="C7" t="n">
        <v>383.23</v>
      </c>
      <c r="D7" t="n">
        <v>1264.47</v>
      </c>
      <c r="E7" t="n">
        <v>34507.6</v>
      </c>
      <c r="F7" t="n">
        <v>24870.1</v>
      </c>
      <c r="G7" t="n">
        <v>0.01755</v>
      </c>
      <c r="H7" t="n">
        <v>0.000783</v>
      </c>
      <c r="I7" t="n">
        <v>-0.035801</v>
      </c>
      <c r="J7" t="n">
        <v>0.001118</v>
      </c>
      <c r="K7" t="n">
        <v>99.94</v>
      </c>
      <c r="L7" t="n">
        <v>94.53</v>
      </c>
      <c r="M7" t="n">
        <v>93.67</v>
      </c>
      <c r="N7" t="n">
        <v>95.23999999999999</v>
      </c>
    </row>
    <row r="8">
      <c r="A8" t="inlineStr">
        <is>
          <t>2025-08-25</t>
        </is>
      </c>
      <c r="B8" t="n">
        <v>120.13</v>
      </c>
      <c r="C8" t="n">
        <v>371.85</v>
      </c>
      <c r="D8" t="n">
        <v>1210.52</v>
      </c>
      <c r="E8" t="n">
        <v>33638.65</v>
      </c>
      <c r="F8" t="n">
        <v>24426.85</v>
      </c>
      <c r="G8" t="n">
        <v>0.010685</v>
      </c>
      <c r="H8" t="n">
        <v>-0.029695</v>
      </c>
      <c r="I8" t="n">
        <v>-0.042666</v>
      </c>
      <c r="J8" t="n">
        <v>-0.025181</v>
      </c>
      <c r="K8" t="n">
        <v>101.01</v>
      </c>
      <c r="L8" t="n">
        <v>91.73</v>
      </c>
      <c r="M8" t="n">
        <v>89.68000000000001</v>
      </c>
      <c r="N8" t="n">
        <v>92.84</v>
      </c>
    </row>
    <row r="9">
      <c r="A9" t="inlineStr">
        <is>
          <t>2025-09-01</t>
        </is>
      </c>
      <c r="B9" t="n">
        <v>121.94</v>
      </c>
      <c r="C9" t="n">
        <v>383.42</v>
      </c>
      <c r="D9" t="n">
        <v>1245.63</v>
      </c>
      <c r="E9" t="n">
        <v>34297.9</v>
      </c>
      <c r="F9" t="n">
        <v>24741</v>
      </c>
      <c r="G9" t="n">
        <v>0.015067</v>
      </c>
      <c r="H9" t="n">
        <v>0.031115</v>
      </c>
      <c r="I9" t="n">
        <v>0.029004</v>
      </c>
      <c r="J9" t="n">
        <v>0.019598</v>
      </c>
      <c r="K9" t="n">
        <v>102.53</v>
      </c>
      <c r="L9" t="n">
        <v>94.58</v>
      </c>
      <c r="M9" t="n">
        <v>92.28</v>
      </c>
      <c r="N9" t="n">
        <v>94.66</v>
      </c>
    </row>
    <row r="10">
      <c r="A10" t="inlineStr">
        <is>
          <t>2025-09-08</t>
        </is>
      </c>
      <c r="B10" t="n">
        <v>129.71</v>
      </c>
      <c r="C10" t="n">
        <v>383.87</v>
      </c>
      <c r="D10" t="n">
        <v>1250.47</v>
      </c>
      <c r="E10" t="n">
        <v>34940.3</v>
      </c>
      <c r="F10" t="n">
        <v>25114</v>
      </c>
      <c r="G10" t="n">
        <v>0.06372</v>
      </c>
      <c r="H10" t="n">
        <v>0.001174</v>
      </c>
      <c r="I10" t="n">
        <v>0.003886</v>
      </c>
      <c r="J10" t="n">
        <v>0.01873</v>
      </c>
      <c r="K10" t="n">
        <v>109.06</v>
      </c>
      <c r="L10" t="n">
        <v>94.69</v>
      </c>
      <c r="M10" t="n">
        <v>92.63</v>
      </c>
      <c r="N10" t="n">
        <v>96.44</v>
      </c>
    </row>
    <row r="11">
      <c r="A11" t="inlineStr">
        <is>
          <t>2025-09-15</t>
        </is>
      </c>
      <c r="B11" t="n">
        <v>141.88</v>
      </c>
      <c r="C11" t="n">
        <v>393.86</v>
      </c>
      <c r="D11" t="n">
        <v>1247.21</v>
      </c>
      <c r="E11" t="n">
        <v>35745.75</v>
      </c>
      <c r="F11" t="n">
        <v>25327.05</v>
      </c>
      <c r="G11" t="n">
        <v>0.09382500000000001</v>
      </c>
      <c r="H11" t="n">
        <v>0.026024</v>
      </c>
      <c r="I11" t="n">
        <v>-0.002607</v>
      </c>
      <c r="J11" t="n">
        <v>0.023052</v>
      </c>
      <c r="K11" t="n">
        <v>119.3</v>
      </c>
      <c r="L11" t="n">
        <v>97.16</v>
      </c>
      <c r="M11" t="n">
        <v>92.39</v>
      </c>
      <c r="N11" t="n">
        <v>98.66</v>
      </c>
    </row>
    <row r="12">
      <c r="A12" t="inlineStr">
        <is>
          <t>2025-09-22</t>
        </is>
      </c>
      <c r="B12" t="n">
        <v>146.25</v>
      </c>
      <c r="C12" t="n">
        <v>381.44</v>
      </c>
      <c r="D12" t="n">
        <v>1216.44</v>
      </c>
      <c r="E12" t="n">
        <v>34830</v>
      </c>
      <c r="F12" t="n">
        <v>24654.7</v>
      </c>
      <c r="G12" t="n">
        <v>0.030801</v>
      </c>
      <c r="H12" t="n">
        <v>-0.031534</v>
      </c>
      <c r="I12" t="n">
        <v>-0.024671</v>
      </c>
      <c r="J12" t="n">
        <v>-0.025618</v>
      </c>
      <c r="K12" t="n">
        <v>122.97</v>
      </c>
      <c r="L12" t="n">
        <v>94.09</v>
      </c>
      <c r="M12" t="n">
        <v>90.11</v>
      </c>
      <c r="N12" t="n">
        <v>96.13</v>
      </c>
    </row>
    <row r="13">
      <c r="A13" t="inlineStr">
        <is>
          <t>2025-09-29</t>
        </is>
      </c>
      <c r="B13" t="n">
        <v>147.38</v>
      </c>
      <c r="C13" t="n">
        <v>392.47</v>
      </c>
      <c r="D13" t="n">
        <v>1204.41</v>
      </c>
      <c r="E13" t="n">
        <v>35375.9</v>
      </c>
      <c r="F13" t="n">
        <v>24894.25</v>
      </c>
      <c r="G13" t="n">
        <v>0.007726</v>
      </c>
      <c r="H13" t="n">
        <v>0.028917</v>
      </c>
      <c r="I13" t="n">
        <v>-0.009889999999999999</v>
      </c>
      <c r="J13" t="n">
        <v>0.015673</v>
      </c>
      <c r="K13" t="n">
        <v>123.92</v>
      </c>
      <c r="L13" t="n">
        <v>96.81</v>
      </c>
      <c r="M13" t="n">
        <v>89.22</v>
      </c>
      <c r="N13" t="n">
        <v>97.64</v>
      </c>
    </row>
    <row r="14">
      <c r="A14" t="inlineStr">
        <is>
          <t>2025-10-06</t>
        </is>
      </c>
      <c r="B14" t="n">
        <v>149.7</v>
      </c>
      <c r="C14" t="n">
        <v>387.7</v>
      </c>
      <c r="D14" t="n">
        <v>1222.36</v>
      </c>
      <c r="E14" t="n">
        <v>35393.95</v>
      </c>
      <c r="F14" t="n">
        <v>25285.35</v>
      </c>
      <c r="G14" t="n">
        <v>0.015742</v>
      </c>
      <c r="H14" t="n">
        <v>-0.012154</v>
      </c>
      <c r="I14" t="n">
        <v>0.014904</v>
      </c>
      <c r="J14" t="n">
        <v>0.00051</v>
      </c>
      <c r="K14" t="n">
        <v>125.87</v>
      </c>
      <c r="L14" t="n">
        <v>95.64</v>
      </c>
      <c r="M14" t="n">
        <v>90.55</v>
      </c>
      <c r="N14" t="n">
        <v>97.69</v>
      </c>
    </row>
    <row r="15">
      <c r="A15" t="inlineStr">
        <is>
          <t>2025-10-13</t>
        </is>
      </c>
      <c r="B15" t="n">
        <v>165.98</v>
      </c>
      <c r="C15" t="n">
        <v>395.35</v>
      </c>
      <c r="D15" t="n">
        <v>1293.87</v>
      </c>
      <c r="E15" t="n">
        <v>35395.7</v>
      </c>
      <c r="F15" t="n">
        <v>25709.85</v>
      </c>
      <c r="G15" t="n">
        <v>0.108751</v>
      </c>
      <c r="H15" t="n">
        <v>0.019732</v>
      </c>
      <c r="I15" t="n">
        <v>0.058502</v>
      </c>
      <c r="J15" t="n">
        <v>4.9e-05</v>
      </c>
      <c r="K15" t="n">
        <v>139.56</v>
      </c>
      <c r="L15" t="n">
        <v>97.52</v>
      </c>
      <c r="M15" t="n">
        <v>95.84999999999999</v>
      </c>
      <c r="N15" t="n">
        <v>97.69</v>
      </c>
    </row>
    <row r="16">
      <c r="A16" t="inlineStr">
        <is>
          <t>2025-10-20</t>
        </is>
      </c>
      <c r="B16" t="n">
        <v>167.72</v>
      </c>
      <c r="C16" t="n">
        <v>394.41</v>
      </c>
      <c r="D16" t="n">
        <v>1307.67</v>
      </c>
      <c r="E16" t="n">
        <v>35626.9</v>
      </c>
      <c r="F16" t="n">
        <v>25795.15</v>
      </c>
      <c r="G16" t="n">
        <v>0.010483</v>
      </c>
      <c r="H16" t="n">
        <v>-0.002378</v>
      </c>
      <c r="I16" t="n">
        <v>0.010666</v>
      </c>
      <c r="J16" t="n">
        <v>0.006532</v>
      </c>
      <c r="K16" t="n">
        <v>141.02</v>
      </c>
      <c r="L16" t="n">
        <v>97.29000000000001</v>
      </c>
      <c r="M16" t="n">
        <v>96.87</v>
      </c>
      <c r="N16" t="n">
        <v>98.33</v>
      </c>
    </row>
    <row r="17">
      <c r="A17" t="inlineStr">
        <is>
          <t>2025-10-27</t>
        </is>
      </c>
      <c r="B17" t="n">
        <v>157.85</v>
      </c>
      <c r="C17" t="n">
        <v>402.41</v>
      </c>
      <c r="D17" t="n">
        <v>1298.5</v>
      </c>
      <c r="E17" t="n">
        <v>36275.95</v>
      </c>
      <c r="F17" t="n">
        <v>25722.1</v>
      </c>
      <c r="G17" t="n">
        <v>-0.058848</v>
      </c>
      <c r="H17" t="n">
        <v>0.020283</v>
      </c>
      <c r="I17" t="n">
        <v>-0.007012</v>
      </c>
      <c r="J17" t="n">
        <v>0.018218</v>
      </c>
      <c r="K17" t="n">
        <v>132.73</v>
      </c>
      <c r="L17" t="n">
        <v>99.26000000000001</v>
      </c>
      <c r="M17" t="n">
        <v>96.19</v>
      </c>
      <c r="N17" t="n">
        <v>100.12</v>
      </c>
    </row>
    <row r="18">
      <c r="A18" t="inlineStr">
        <is>
          <t>2025-11-03</t>
        </is>
      </c>
      <c r="B18" t="n">
        <v>151.48</v>
      </c>
      <c r="C18" t="n">
        <v>390.78</v>
      </c>
      <c r="D18" t="n">
        <v>1263.68</v>
      </c>
      <c r="E18" t="n">
        <v>35790.3</v>
      </c>
      <c r="F18" t="n">
        <v>25492.3</v>
      </c>
      <c r="G18" t="n">
        <v>-0.040355</v>
      </c>
      <c r="H18" t="n">
        <v>-0.028901</v>
      </c>
      <c r="I18" t="n">
        <v>-0.026816</v>
      </c>
      <c r="J18" t="n">
        <v>-0.013388</v>
      </c>
      <c r="K18" t="n">
        <v>127.37</v>
      </c>
      <c r="L18" t="n">
        <v>96.40000000000001</v>
      </c>
      <c r="M18" t="n">
        <v>93.61</v>
      </c>
      <c r="N18" t="n">
        <v>98.78</v>
      </c>
    </row>
    <row r="19">
      <c r="A19" t="inlineStr">
        <is>
          <t>2025-11-10</t>
        </is>
      </c>
      <c r="B19" t="n">
        <v>153.91</v>
      </c>
      <c r="C19" t="n">
        <v>386.01</v>
      </c>
      <c r="D19" t="n">
        <v>1283.21</v>
      </c>
      <c r="E19" t="n">
        <v>36261.1</v>
      </c>
      <c r="F19" t="n">
        <v>25910.05</v>
      </c>
      <c r="G19" t="n">
        <v>0.016042</v>
      </c>
      <c r="H19" t="n">
        <v>-0.012206</v>
      </c>
      <c r="I19" t="n">
        <v>0.015455</v>
      </c>
      <c r="J19" t="n">
        <v>0.013154</v>
      </c>
      <c r="K19" t="n">
        <v>129.41</v>
      </c>
      <c r="L19" t="n">
        <v>95.22</v>
      </c>
      <c r="M19" t="n">
        <v>95.06</v>
      </c>
      <c r="N19" t="n">
        <v>100.08</v>
      </c>
    </row>
    <row r="20">
      <c r="A20" t="inlineStr">
        <is>
          <t>2025-11-17</t>
        </is>
      </c>
      <c r="B20" t="n">
        <v>149.12</v>
      </c>
      <c r="C20" t="n">
        <v>384.62</v>
      </c>
      <c r="D20" t="n">
        <v>1273.74</v>
      </c>
      <c r="E20" t="n">
        <v>35852.4</v>
      </c>
      <c r="F20" t="n">
        <v>26068.15</v>
      </c>
      <c r="G20" t="n">
        <v>-0.031122</v>
      </c>
      <c r="H20" t="n">
        <v>-0.003601</v>
      </c>
      <c r="I20" t="n">
        <v>-0.00738</v>
      </c>
      <c r="J20" t="n">
        <v>-0.011271</v>
      </c>
      <c r="K20" t="n">
        <v>125.38</v>
      </c>
      <c r="L20" t="n">
        <v>94.88</v>
      </c>
      <c r="M20" t="n">
        <v>94.36</v>
      </c>
      <c r="N20" t="n">
        <v>98.95</v>
      </c>
    </row>
    <row r="21">
      <c r="A21" t="inlineStr">
        <is>
          <t>2025-11-24</t>
        </is>
      </c>
      <c r="B21" t="n">
        <v>147.49</v>
      </c>
      <c r="C21" t="n">
        <v>387.7</v>
      </c>
      <c r="D21" t="n">
        <v>1296.53</v>
      </c>
      <c r="E21" t="n">
        <v>35548.3</v>
      </c>
      <c r="F21" t="n">
        <v>26202.95</v>
      </c>
      <c r="G21" t="n">
        <v>-0.010931</v>
      </c>
      <c r="H21" t="n">
        <v>0.008007999999999999</v>
      </c>
      <c r="I21" t="n">
        <v>0.017892</v>
      </c>
      <c r="J21" t="n">
        <v>-0.008482</v>
      </c>
      <c r="K21" t="n">
        <v>124.01</v>
      </c>
      <c r="L21" t="n">
        <v>95.64</v>
      </c>
      <c r="M21" t="n">
        <v>96.05</v>
      </c>
      <c r="N21" t="n">
        <v>98.11</v>
      </c>
    </row>
    <row r="22">
      <c r="A22" t="inlineStr">
        <is>
          <t>2025-12-01</t>
        </is>
      </c>
      <c r="B22" t="n">
        <v>143.78</v>
      </c>
      <c r="C22" t="n">
        <v>382.13</v>
      </c>
      <c r="D22" t="n">
        <v>1272.26</v>
      </c>
      <c r="E22" t="n">
        <v>34971.8</v>
      </c>
      <c r="F22" t="n">
        <v>26186.45</v>
      </c>
      <c r="G22" t="n">
        <v>-0.025154</v>
      </c>
      <c r="H22" t="n">
        <v>-0.014367</v>
      </c>
      <c r="I22" t="n">
        <v>-0.018719</v>
      </c>
      <c r="J22" t="n">
        <v>-0.016217</v>
      </c>
      <c r="K22" t="n">
        <v>120.89</v>
      </c>
      <c r="L22" t="n">
        <v>94.26000000000001</v>
      </c>
      <c r="M22" t="n">
        <v>94.25</v>
      </c>
      <c r="N22" t="n">
        <v>96.52</v>
      </c>
    </row>
    <row r="23">
      <c r="A23" t="inlineStr">
        <is>
          <t>2025-12-08</t>
        </is>
      </c>
      <c r="B23" t="n">
        <v>144.49</v>
      </c>
      <c r="C23" t="n">
        <v>379.6</v>
      </c>
      <c r="D23" t="n">
        <v>1273.15</v>
      </c>
      <c r="E23" t="n">
        <v>35039.85</v>
      </c>
      <c r="F23" t="n">
        <v>26046.95</v>
      </c>
      <c r="G23" t="n">
        <v>0.004938</v>
      </c>
      <c r="H23" t="n">
        <v>-0.006621</v>
      </c>
      <c r="I23" t="n">
        <v>0.0007</v>
      </c>
      <c r="J23" t="n">
        <v>0.001946</v>
      </c>
      <c r="K23" t="n">
        <v>121.49</v>
      </c>
      <c r="L23" t="n">
        <v>93.64</v>
      </c>
      <c r="M23" t="n">
        <v>94.31999999999999</v>
      </c>
      <c r="N23" t="n">
        <v>96.70999999999999</v>
      </c>
    </row>
    <row r="24">
      <c r="A24" t="inlineStr">
        <is>
          <t>2025-12-15</t>
        </is>
      </c>
      <c r="B24" t="n">
        <v>141.76</v>
      </c>
      <c r="C24" t="n">
        <v>378.21</v>
      </c>
      <c r="D24" t="n">
        <v>1261.61</v>
      </c>
      <c r="E24" t="n">
        <v>34796.4</v>
      </c>
      <c r="F24" t="n">
        <v>25966.4</v>
      </c>
      <c r="G24" t="n">
        <v>-0.018894</v>
      </c>
      <c r="H24" t="n">
        <v>-0.003662</v>
      </c>
      <c r="I24" t="n">
        <v>-0.009063999999999999</v>
      </c>
      <c r="J24" t="n">
        <v>-0.006948</v>
      </c>
      <c r="K24" t="n">
        <v>119.2</v>
      </c>
      <c r="L24" t="n">
        <v>93.3</v>
      </c>
      <c r="M24" t="n">
        <v>93.45999999999999</v>
      </c>
      <c r="N24" t="n">
        <v>96.04000000000001</v>
      </c>
    </row>
    <row r="25">
      <c r="A25" t="inlineStr">
        <is>
          <t>2025-12-22</t>
        </is>
      </c>
      <c r="B25" t="n">
        <v>142.19</v>
      </c>
      <c r="C25" t="n">
        <v>377.21</v>
      </c>
      <c r="D25" t="n">
        <v>1281.44</v>
      </c>
      <c r="E25" t="n">
        <v>35058.8</v>
      </c>
      <c r="F25" t="n">
        <v>26042.3</v>
      </c>
      <c r="G25" t="n">
        <v>0.003033</v>
      </c>
      <c r="H25" t="n">
        <v>-0.002644</v>
      </c>
      <c r="I25" t="n">
        <v>0.015718</v>
      </c>
      <c r="J25" t="n">
        <v>0.007541</v>
      </c>
      <c r="K25" t="n">
        <v>119.56</v>
      </c>
      <c r="L25" t="n">
        <v>93.05</v>
      </c>
      <c r="M25" t="n">
        <v>94.93000000000001</v>
      </c>
      <c r="N25" t="n">
        <v>96.76000000000001</v>
      </c>
    </row>
    <row r="26">
      <c r="A26" t="inlineStr">
        <is>
          <t>2025-12-29</t>
        </is>
      </c>
      <c r="B26" t="n">
        <v>148.17</v>
      </c>
      <c r="C26" t="n">
        <v>390.68</v>
      </c>
      <c r="D26" t="n">
        <v>1380.27</v>
      </c>
      <c r="E26" t="n">
        <v>36275.65</v>
      </c>
      <c r="F26" t="n">
        <v>26328.55</v>
      </c>
      <c r="G26" t="n">
        <v>0.042056</v>
      </c>
      <c r="H26" t="n">
        <v>0.03571</v>
      </c>
      <c r="I26" t="n">
        <v>0.077124</v>
      </c>
      <c r="J26" t="n">
        <v>0.034709</v>
      </c>
      <c r="K26" t="n">
        <v>124.59</v>
      </c>
      <c r="L26" t="n">
        <v>96.37</v>
      </c>
      <c r="M26" t="n">
        <v>102.25</v>
      </c>
      <c r="N26" t="n">
        <v>100.12</v>
      </c>
    </row>
    <row r="27">
      <c r="A27" t="inlineStr">
        <is>
          <t>2026-01-05</t>
        </is>
      </c>
      <c r="B27" t="n">
        <v>141.68</v>
      </c>
      <c r="C27" t="n">
        <v>362.55</v>
      </c>
      <c r="D27" t="n">
        <v>1303.24</v>
      </c>
      <c r="E27" t="n">
        <v>34409.3</v>
      </c>
      <c r="F27" t="n">
        <v>25683.3</v>
      </c>
      <c r="G27" t="n">
        <v>-0.043801</v>
      </c>
      <c r="H27" t="n">
        <v>-0.072003</v>
      </c>
      <c r="I27" t="n">
        <v>-0.055808</v>
      </c>
      <c r="J27" t="n">
        <v>-0.051449</v>
      </c>
      <c r="K27" t="n">
        <v>119.13</v>
      </c>
      <c r="L27" t="n">
        <v>89.43000000000001</v>
      </c>
      <c r="M27" t="n">
        <v>96.54000000000001</v>
      </c>
      <c r="N27" t="n">
        <v>94.97</v>
      </c>
    </row>
    <row r="28">
      <c r="A28" t="inlineStr">
        <is>
          <t>2026-01-12</t>
        </is>
      </c>
      <c r="B28" t="n">
        <v>142.63</v>
      </c>
      <c r="C28" t="n">
        <v>363.85</v>
      </c>
      <c r="D28" t="n">
        <v>1339.14</v>
      </c>
      <c r="E28" t="n">
        <v>34346.35</v>
      </c>
      <c r="F28" t="n">
        <v>25694.35</v>
      </c>
      <c r="G28" t="n">
        <v>0.006705</v>
      </c>
      <c r="H28" t="n">
        <v>0.003586</v>
      </c>
      <c r="I28" t="n">
        <v>0.027547</v>
      </c>
      <c r="J28" t="n">
        <v>-0.001829</v>
      </c>
      <c r="K28" t="n">
        <v>119.93</v>
      </c>
      <c r="L28" t="n">
        <v>89.75</v>
      </c>
      <c r="M28" t="n">
        <v>99.2</v>
      </c>
      <c r="N28" t="n">
        <v>94.8</v>
      </c>
    </row>
    <row r="29">
      <c r="A29" t="inlineStr">
        <is>
          <t>2026-01-19</t>
        </is>
      </c>
      <c r="B29" t="n">
        <v>132.96</v>
      </c>
      <c r="C29" t="n">
        <v>343.12</v>
      </c>
      <c r="D29" t="n">
        <v>1253.33</v>
      </c>
      <c r="E29" t="n">
        <v>33098.3</v>
      </c>
      <c r="F29" t="n">
        <v>25048.65</v>
      </c>
      <c r="G29" t="n">
        <v>-0.067798</v>
      </c>
      <c r="H29" t="n">
        <v>-0.056974</v>
      </c>
      <c r="I29" t="n">
        <v>-0.064078</v>
      </c>
      <c r="J29" t="n">
        <v>-0.036337</v>
      </c>
      <c r="K29" t="n">
        <v>111.8</v>
      </c>
      <c r="L29" t="n">
        <v>84.64</v>
      </c>
      <c r="M29" t="n">
        <v>92.84999999999999</v>
      </c>
      <c r="N29" t="n">
        <v>91.34999999999999</v>
      </c>
    </row>
    <row r="30">
      <c r="A30" t="inlineStr">
        <is>
          <t>2026-01-26</t>
        </is>
      </c>
      <c r="B30" t="n">
        <v>132.85</v>
      </c>
      <c r="C30" t="n">
        <v>352.17</v>
      </c>
      <c r="D30" t="n">
        <v>1279.76</v>
      </c>
      <c r="E30" t="n">
        <v>35138.05</v>
      </c>
      <c r="F30" t="n">
        <v>24825.45</v>
      </c>
      <c r="G30" t="n">
        <v>-0.000827</v>
      </c>
      <c r="H30" t="n">
        <v>0.026376</v>
      </c>
      <c r="I30" t="n">
        <v>0.021088</v>
      </c>
      <c r="J30" t="n">
        <v>0.061627</v>
      </c>
      <c r="K30" t="n">
        <v>111.7</v>
      </c>
      <c r="L30" t="n">
        <v>86.87</v>
      </c>
      <c r="M30" t="n">
        <v>94.8</v>
      </c>
      <c r="N30" t="n">
        <v>96.98</v>
      </c>
    </row>
    <row r="31">
      <c r="A31" t="inlineStr">
        <is>
          <t>2026-02-02</t>
        </is>
      </c>
      <c r="B31" t="n">
        <v>152.74</v>
      </c>
      <c r="C31" t="n">
        <v>363.7</v>
      </c>
      <c r="D31" t="n">
        <v>1409.46</v>
      </c>
      <c r="E31" t="n">
        <v>36451.7</v>
      </c>
      <c r="F31" t="n">
        <v>25693.7</v>
      </c>
      <c r="G31" t="n">
        <v>0.149718</v>
      </c>
      <c r="H31" t="n">
        <v>0.03274</v>
      </c>
      <c r="I31" t="n">
        <v>0.101347</v>
      </c>
      <c r="J31" t="n">
        <v>0.037385</v>
      </c>
      <c r="K31" t="n">
        <v>128.43</v>
      </c>
      <c r="L31" t="n">
        <v>89.72</v>
      </c>
      <c r="M31" t="n">
        <v>104.41</v>
      </c>
      <c r="N31" t="n">
        <v>100.61</v>
      </c>
    </row>
    <row r="32">
      <c r="A32" t="inlineStr">
        <is>
          <t>2026-02-09</t>
        </is>
      </c>
      <c r="B32" t="n">
        <v>139.9</v>
      </c>
      <c r="C32" t="n">
        <v>371.8</v>
      </c>
      <c r="D32" t="n">
        <v>1442.6</v>
      </c>
      <c r="E32" t="n">
        <v>35709.9</v>
      </c>
      <c r="F32" t="n">
        <v>25471.1</v>
      </c>
      <c r="G32" t="n">
        <v>-0.084064</v>
      </c>
      <c r="H32" t="n">
        <v>0.022271</v>
      </c>
      <c r="I32" t="n">
        <v>0.023513</v>
      </c>
      <c r="J32" t="n">
        <v>-0.02035</v>
      </c>
      <c r="K32" t="n">
        <v>117.63</v>
      </c>
      <c r="L32" t="n">
        <v>91.70999999999999</v>
      </c>
      <c r="M32" t="n">
        <v>106.87</v>
      </c>
      <c r="N32" t="n">
        <v>98.56</v>
      </c>
    </row>
    <row r="33">
      <c r="A33" t="inlineStr">
        <is>
          <t>2026-02-16</t>
        </is>
      </c>
      <c r="B33" t="n">
        <v>142.7</v>
      </c>
      <c r="C33" t="n">
        <v>375.67</v>
      </c>
      <c r="D33" t="n">
        <v>1523.32</v>
      </c>
      <c r="E33" t="n">
        <v>36581.15</v>
      </c>
      <c r="F33" t="n">
        <v>25571.25</v>
      </c>
      <c r="G33" t="n">
        <v>0.020014</v>
      </c>
      <c r="H33" t="n">
        <v>0.010409</v>
      </c>
      <c r="I33" t="n">
        <v>0.055955</v>
      </c>
      <c r="J33" t="n">
        <v>0.024398</v>
      </c>
      <c r="K33" t="n">
        <v>119.99</v>
      </c>
      <c r="L33" t="n">
        <v>92.67</v>
      </c>
      <c r="M33" t="n">
        <v>112.85</v>
      </c>
      <c r="N33" t="n">
        <v>100.96</v>
      </c>
    </row>
    <row r="34">
      <c r="A34" t="inlineStr">
        <is>
          <t>2026-02-23</t>
        </is>
      </c>
      <c r="B34" t="n">
        <v>140.11</v>
      </c>
      <c r="C34" t="n">
        <v>375.22</v>
      </c>
      <c r="D34" t="n">
        <v>1560.99</v>
      </c>
      <c r="E34" t="n">
        <v>37045.2</v>
      </c>
      <c r="F34" t="n">
        <v>25178.65</v>
      </c>
      <c r="G34" t="n">
        <v>-0.01815</v>
      </c>
      <c r="H34" t="n">
        <v>-0.001198</v>
      </c>
      <c r="I34" t="n">
        <v>0.024729</v>
      </c>
      <c r="J34" t="n">
        <v>0.012685</v>
      </c>
      <c r="K34" t="n">
        <v>117.81</v>
      </c>
      <c r="L34" t="n">
        <v>92.56</v>
      </c>
      <c r="M34" t="n">
        <v>115.64</v>
      </c>
      <c r="N34" t="n">
        <v>102.25</v>
      </c>
    </row>
    <row r="35">
      <c r="A35" t="inlineStr">
        <is>
          <t>2026-03-02</t>
        </is>
      </c>
      <c r="B35" t="n">
        <v>138.99</v>
      </c>
      <c r="C35" t="n">
        <v>373.19</v>
      </c>
      <c r="D35" t="n">
        <v>1476.19</v>
      </c>
      <c r="E35" t="n">
        <v>36319.6</v>
      </c>
      <c r="F35" t="n">
        <v>24450.45</v>
      </c>
      <c r="G35" t="n">
        <v>-0.007993999999999999</v>
      </c>
      <c r="H35" t="n">
        <v>-0.00541</v>
      </c>
      <c r="I35" t="n">
        <v>-0.054324</v>
      </c>
      <c r="J35" t="n">
        <v>-0.019587</v>
      </c>
      <c r="K35" t="n">
        <v>116.87</v>
      </c>
      <c r="L35" t="n">
        <v>92.06</v>
      </c>
      <c r="M35" t="n">
        <v>109.36</v>
      </c>
      <c r="N35" t="n">
        <v>100.24</v>
      </c>
    </row>
    <row r="36">
      <c r="A36" t="inlineStr">
        <is>
          <t>2026-03-09</t>
        </is>
      </c>
      <c r="B36" t="n">
        <v>146.57</v>
      </c>
      <c r="C36" t="n">
        <v>392.52</v>
      </c>
      <c r="D36" t="n">
        <v>1456.26</v>
      </c>
      <c r="E36" t="n">
        <v>36071.85</v>
      </c>
      <c r="F36" t="n">
        <v>23151.1</v>
      </c>
      <c r="G36" t="n">
        <v>0.054536</v>
      </c>
      <c r="H36" t="n">
        <v>0.051797</v>
      </c>
      <c r="I36" t="n">
        <v>-0.013501</v>
      </c>
      <c r="J36" t="n">
        <v>-0.006821</v>
      </c>
      <c r="K36" t="n">
        <v>123.24</v>
      </c>
      <c r="L36" t="n">
        <v>96.83</v>
      </c>
      <c r="M36" t="n">
        <v>107.88</v>
      </c>
      <c r="N36" t="n">
        <v>99.56</v>
      </c>
    </row>
    <row r="37">
      <c r="A37" t="inlineStr">
        <is>
          <t>2026-03-16</t>
        </is>
      </c>
      <c r="B37" t="n">
        <v>151.54</v>
      </c>
      <c r="C37" t="n">
        <v>399.92</v>
      </c>
      <c r="D37" t="n">
        <v>1445.69</v>
      </c>
      <c r="E37" t="n">
        <v>35908.3</v>
      </c>
      <c r="F37" t="n">
        <v>23114.5</v>
      </c>
      <c r="G37" t="n">
        <v>0.033909</v>
      </c>
      <c r="H37" t="n">
        <v>0.018853</v>
      </c>
      <c r="I37" t="n">
        <v>-0.007258</v>
      </c>
      <c r="J37" t="n">
        <v>-0.004534</v>
      </c>
      <c r="K37" t="n">
        <v>127.42</v>
      </c>
      <c r="L37" t="n">
        <v>98.65000000000001</v>
      </c>
      <c r="M37" t="n">
        <v>107.1</v>
      </c>
      <c r="N37" t="n">
        <v>99.11</v>
      </c>
    </row>
    <row r="38">
      <c r="A38" t="inlineStr">
        <is>
          <t>2026-03-23</t>
        </is>
      </c>
      <c r="B38" t="n">
        <v>153.92</v>
      </c>
      <c r="C38" t="n">
        <v>383.32</v>
      </c>
      <c r="D38" t="n">
        <v>1347.63</v>
      </c>
      <c r="E38" t="n">
        <v>35214.8</v>
      </c>
      <c r="F38" t="n">
        <v>22819.6</v>
      </c>
      <c r="G38" t="n">
        <v>0.015705</v>
      </c>
      <c r="H38" t="n">
        <v>-0.041508</v>
      </c>
      <c r="I38" t="n">
        <v>-0.067829</v>
      </c>
      <c r="J38" t="n">
        <v>-0.019313</v>
      </c>
      <c r="K38" t="n">
        <v>129.42</v>
      </c>
      <c r="L38" t="n">
        <v>94.56</v>
      </c>
      <c r="M38" t="n">
        <v>99.83</v>
      </c>
      <c r="N38" t="n">
        <v>97.19</v>
      </c>
    </row>
    <row r="39">
      <c r="A39" t="inlineStr">
        <is>
          <t>2026-03-30</t>
        </is>
      </c>
      <c r="B39" t="n">
        <v>159.97</v>
      </c>
      <c r="C39" t="n">
        <v>382.63</v>
      </c>
      <c r="D39" t="n">
        <v>1327.6</v>
      </c>
      <c r="E39" t="n">
        <v>35299.4</v>
      </c>
      <c r="F39" t="n">
        <v>22713.1</v>
      </c>
      <c r="G39" t="n">
        <v>0.039306</v>
      </c>
      <c r="H39" t="n">
        <v>-0.0018</v>
      </c>
      <c r="I39" t="n">
        <v>-0.014863</v>
      </c>
      <c r="J39" t="n">
        <v>0.002402</v>
      </c>
      <c r="K39" t="n">
        <v>134.51</v>
      </c>
      <c r="L39" t="n">
        <v>94.39</v>
      </c>
      <c r="M39" t="n">
        <v>98.34999999999999</v>
      </c>
      <c r="N39" t="n">
        <v>97.43000000000001</v>
      </c>
    </row>
    <row r="40">
      <c r="A40" t="inlineStr">
        <is>
          <t>2026-04-06</t>
        </is>
      </c>
      <c r="B40" t="n">
        <v>175.81</v>
      </c>
      <c r="C40" t="n">
        <v>396.89</v>
      </c>
      <c r="D40" t="n">
        <v>1466.72</v>
      </c>
      <c r="E40" t="n">
        <v>37174.6</v>
      </c>
      <c r="F40" t="n">
        <v>24050.6</v>
      </c>
      <c r="G40" t="n">
        <v>0.099019</v>
      </c>
      <c r="H40" t="n">
        <v>0.037268</v>
      </c>
      <c r="I40" t="n">
        <v>0.104791</v>
      </c>
      <c r="J40" t="n">
        <v>0.053123</v>
      </c>
      <c r="K40" t="n">
        <v>147.83</v>
      </c>
      <c r="L40" t="n">
        <v>97.90000000000001</v>
      </c>
      <c r="M40" t="n">
        <v>108.65</v>
      </c>
      <c r="N40" t="n">
        <v>102.6</v>
      </c>
    </row>
    <row r="41">
      <c r="A41" t="inlineStr">
        <is>
          <t>2026-04-13</t>
        </is>
      </c>
      <c r="B41" t="n">
        <v>198.5</v>
      </c>
      <c r="C41" t="n">
        <v>424.97</v>
      </c>
      <c r="D41" t="n">
        <v>1559.6</v>
      </c>
      <c r="E41" t="n">
        <v>38881.75</v>
      </c>
      <c r="F41" t="n">
        <v>24353.55</v>
      </c>
      <c r="G41" t="n">
        <v>0.12906</v>
      </c>
      <c r="H41" t="n">
        <v>0.07074999999999999</v>
      </c>
      <c r="I41" t="n">
        <v>0.06332500000000001</v>
      </c>
      <c r="J41" t="n">
        <v>0.045922</v>
      </c>
      <c r="K41" t="n">
        <v>166.9</v>
      </c>
      <c r="L41" t="n">
        <v>104.83</v>
      </c>
      <c r="M41" t="n">
        <v>115.54</v>
      </c>
      <c r="N41" t="n">
        <v>107.31</v>
      </c>
    </row>
    <row r="42">
      <c r="A42" t="inlineStr">
        <is>
          <t>2026-04-20</t>
        </is>
      </c>
      <c r="B42" t="n">
        <v>212.9</v>
      </c>
      <c r="C42" t="n">
        <v>432.32</v>
      </c>
      <c r="D42" t="n">
        <v>1693.63</v>
      </c>
      <c r="E42" t="n">
        <v>39903.75</v>
      </c>
      <c r="F42" t="n">
        <v>23897.95</v>
      </c>
      <c r="G42" t="n">
        <v>0.072544</v>
      </c>
      <c r="H42" t="n">
        <v>0.017295</v>
      </c>
      <c r="I42" t="n">
        <v>0.085939</v>
      </c>
      <c r="J42" t="n">
        <v>0.026285</v>
      </c>
      <c r="K42" t="n">
        <v>179.01</v>
      </c>
      <c r="L42" t="n">
        <v>106.64</v>
      </c>
      <c r="M42" t="n">
        <v>125.46</v>
      </c>
      <c r="N42" t="n">
        <v>110.14</v>
      </c>
    </row>
    <row r="43">
      <c r="A43" t="inlineStr">
        <is>
          <t>2026-04-27</t>
        </is>
      </c>
      <c r="B43" t="n">
        <v>221.85</v>
      </c>
      <c r="C43" t="n">
        <v>441.81</v>
      </c>
      <c r="D43" t="n">
        <v>1730.01</v>
      </c>
      <c r="E43" t="n">
        <v>40771.9</v>
      </c>
      <c r="F43" t="n">
        <v>23997.55</v>
      </c>
      <c r="G43" t="n">
        <v>0.042039</v>
      </c>
      <c r="H43" t="n">
        <v>0.021951</v>
      </c>
      <c r="I43" t="n">
        <v>0.02148</v>
      </c>
      <c r="J43" t="n">
        <v>0.021756</v>
      </c>
      <c r="K43" t="n">
        <v>186.54</v>
      </c>
      <c r="L43" t="n">
        <v>108.98</v>
      </c>
      <c r="M43" t="n">
        <v>128.16</v>
      </c>
      <c r="N43" t="n">
        <v>112.53</v>
      </c>
    </row>
    <row r="44">
      <c r="A44" t="inlineStr">
        <is>
          <t>2026-05-04</t>
        </is>
      </c>
      <c r="B44" t="n">
        <v>225.33</v>
      </c>
      <c r="C44" t="n">
        <v>433.31</v>
      </c>
      <c r="D44" t="n">
        <v>1718.45</v>
      </c>
      <c r="E44" t="n">
        <v>40795.8</v>
      </c>
      <c r="F44" t="n">
        <v>24176.15</v>
      </c>
      <c r="G44" t="n">
        <v>0.015686</v>
      </c>
      <c r="H44" t="n">
        <v>-0.019239</v>
      </c>
      <c r="I44" t="n">
        <v>-0.006682</v>
      </c>
      <c r="J44" t="n">
        <v>0.000586</v>
      </c>
      <c r="K44" t="n">
        <v>189.46</v>
      </c>
      <c r="L44" t="n">
        <v>106.89</v>
      </c>
      <c r="M44" t="n">
        <v>127.3</v>
      </c>
      <c r="N44" t="n">
        <v>112.6</v>
      </c>
    </row>
    <row r="45">
      <c r="A45" t="inlineStr">
        <is>
          <t>2026-05-11</t>
        </is>
      </c>
      <c r="B45" t="n">
        <v>221.33</v>
      </c>
      <c r="C45" t="n">
        <v>404.49</v>
      </c>
      <c r="D45" t="n">
        <v>1460.94</v>
      </c>
      <c r="E45" t="n">
        <v>39816.85</v>
      </c>
      <c r="F45" t="n">
        <v>23643.5</v>
      </c>
      <c r="G45" t="n">
        <v>-0.017752</v>
      </c>
      <c r="H45" t="n">
        <v>-0.066511</v>
      </c>
      <c r="I45" t="n">
        <v>-0.14985</v>
      </c>
      <c r="J45" t="n">
        <v>-0.023996</v>
      </c>
      <c r="K45" t="n">
        <v>186.1</v>
      </c>
      <c r="L45" t="n">
        <v>99.78</v>
      </c>
      <c r="M45" t="n">
        <v>108.23</v>
      </c>
      <c r="N45" t="n">
        <v>109.9</v>
      </c>
    </row>
    <row r="46">
      <c r="A46" t="inlineStr">
        <is>
          <t>2026-05-18</t>
        </is>
      </c>
      <c r="B46" t="n">
        <v>219.32</v>
      </c>
      <c r="C46" t="n">
        <v>406.38</v>
      </c>
      <c r="D46" t="n">
        <v>1493.33</v>
      </c>
      <c r="E46" t="n">
        <v>40237.6</v>
      </c>
      <c r="F46" t="n">
        <v>23719.3</v>
      </c>
      <c r="G46" t="n">
        <v>-0.009081000000000001</v>
      </c>
      <c r="H46" t="n">
        <v>0.004673</v>
      </c>
      <c r="I46" t="n">
        <v>0.022171</v>
      </c>
      <c r="J46" t="n">
        <v>0.010567</v>
      </c>
      <c r="K46" t="n">
        <v>184.41</v>
      </c>
      <c r="L46" t="n">
        <v>100.24</v>
      </c>
      <c r="M46" t="n">
        <v>110.63</v>
      </c>
      <c r="N46" t="n">
        <v>111.06</v>
      </c>
    </row>
    <row r="47">
      <c r="A47" t="inlineStr">
        <is>
          <t>2026-05-25</t>
        </is>
      </c>
      <c r="B47" t="n">
        <v>243.37</v>
      </c>
      <c r="C47" t="n">
        <v>418.16</v>
      </c>
      <c r="D47" t="n">
        <v>1415.4</v>
      </c>
      <c r="E47" t="n">
        <v>40878</v>
      </c>
      <c r="F47" t="n">
        <v>23547.75</v>
      </c>
      <c r="G47" t="n">
        <v>0.109657</v>
      </c>
      <c r="H47" t="n">
        <v>0.028988</v>
      </c>
      <c r="I47" t="n">
        <v>-0.052185</v>
      </c>
      <c r="J47" t="n">
        <v>0.015915</v>
      </c>
      <c r="K47" t="n">
        <v>204.63</v>
      </c>
      <c r="L47" t="n">
        <v>103.15</v>
      </c>
      <c r="M47" t="n">
        <v>104.85</v>
      </c>
      <c r="N47" t="n">
        <v>112.82</v>
      </c>
    </row>
    <row r="48">
      <c r="A48" t="inlineStr">
        <is>
          <t>2026-06-01</t>
        </is>
      </c>
      <c r="B48" t="n">
        <v>232.6</v>
      </c>
      <c r="C48" t="n">
        <v>406.68</v>
      </c>
      <c r="D48" t="n">
        <v>1455.06</v>
      </c>
      <c r="E48" t="n">
        <v>40346.1</v>
      </c>
      <c r="F48" t="n">
        <v>23366.7</v>
      </c>
      <c r="G48" t="n">
        <v>-0.044254</v>
      </c>
      <c r="H48" t="n">
        <v>-0.027454</v>
      </c>
      <c r="I48" t="n">
        <v>0.02802</v>
      </c>
      <c r="J48" t="n">
        <v>-0.013012</v>
      </c>
      <c r="K48" t="n">
        <v>195.58</v>
      </c>
      <c r="L48" t="n">
        <v>100.32</v>
      </c>
      <c r="M48" t="n">
        <v>107.79</v>
      </c>
      <c r="N48" t="n">
        <v>111.36</v>
      </c>
    </row>
    <row r="49">
      <c r="A49" t="inlineStr">
        <is>
          <t>2026-06-08</t>
        </is>
      </c>
      <c r="B49" t="n">
        <v>223.07</v>
      </c>
      <c r="C49" t="n">
        <v>391.13</v>
      </c>
      <c r="D49" t="n">
        <v>1387.2</v>
      </c>
      <c r="E49" t="n">
        <v>39244.45</v>
      </c>
      <c r="F49" t="n">
        <v>23622.9</v>
      </c>
      <c r="G49" t="n">
        <v>-0.040972</v>
      </c>
      <c r="H49" t="n">
        <v>-0.038236</v>
      </c>
      <c r="I49" t="n">
        <v>-0.046637</v>
      </c>
      <c r="J49" t="n">
        <v>-0.027305</v>
      </c>
      <c r="K49" t="n">
        <v>187.56</v>
      </c>
      <c r="L49" t="n">
        <v>96.48</v>
      </c>
      <c r="M49" t="n">
        <v>102.76</v>
      </c>
      <c r="N49" t="n">
        <v>108.32</v>
      </c>
    </row>
    <row r="50">
      <c r="A50" t="inlineStr">
        <is>
          <t>2026-06-15</t>
        </is>
      </c>
      <c r="B50" t="n">
        <v>231.76</v>
      </c>
      <c r="C50" t="n">
        <v>399.87</v>
      </c>
      <c r="D50" t="n">
        <v>1438.4</v>
      </c>
      <c r="E50" t="n">
        <v>40548.1</v>
      </c>
      <c r="F50" t="n">
        <v>24013.1</v>
      </c>
      <c r="G50" t="n">
        <v>0.038956</v>
      </c>
      <c r="H50" t="n">
        <v>0.022346</v>
      </c>
      <c r="I50" t="n">
        <v>0.036909</v>
      </c>
      <c r="J50" t="n">
        <v>0.033219</v>
      </c>
      <c r="K50" t="n">
        <v>194.87</v>
      </c>
      <c r="L50" t="n">
        <v>98.64</v>
      </c>
      <c r="M50" t="n">
        <v>106.56</v>
      </c>
      <c r="N50" t="n">
        <v>111.91</v>
      </c>
    </row>
    <row r="51">
      <c r="A51" t="inlineStr">
        <is>
          <t>2026-06-22</t>
        </is>
      </c>
      <c r="B51" t="n">
        <v>229.27</v>
      </c>
      <c r="C51" t="n">
        <v>388.95</v>
      </c>
      <c r="D51" t="n">
        <v>1413.7</v>
      </c>
      <c r="E51" t="n">
        <v>39637</v>
      </c>
      <c r="F51" t="n">
        <v>24056</v>
      </c>
      <c r="G51" t="n">
        <v>-0.010744</v>
      </c>
      <c r="H51" t="n">
        <v>-0.027309</v>
      </c>
      <c r="I51" t="n">
        <v>-0.017172</v>
      </c>
      <c r="J51" t="n">
        <v>-0.02247</v>
      </c>
      <c r="K51" t="n">
        <v>192.78</v>
      </c>
      <c r="L51" t="n">
        <v>95.94</v>
      </c>
      <c r="M51" t="n">
        <v>104.73</v>
      </c>
      <c r="N51" t="n">
        <v>109.4</v>
      </c>
    </row>
    <row r="52">
      <c r="A52" t="inlineStr">
        <is>
          <t>2026-06-29</t>
        </is>
      </c>
      <c r="B52" t="n">
        <v>221.79</v>
      </c>
      <c r="C52" t="n">
        <v>375.2</v>
      </c>
      <c r="D52" t="n">
        <v>1366.5</v>
      </c>
      <c r="E52" t="n">
        <v>39178.6</v>
      </c>
      <c r="F52" t="n">
        <v>24270.85</v>
      </c>
      <c r="G52" t="n">
        <v>-0.032625</v>
      </c>
      <c r="H52" t="n">
        <v>-0.035352</v>
      </c>
      <c r="I52" t="n">
        <v>-0.033388</v>
      </c>
      <c r="J52" t="n">
        <v>-0.011565</v>
      </c>
      <c r="K52" t="n">
        <v>186.49</v>
      </c>
      <c r="L52" t="n">
        <v>92.55</v>
      </c>
      <c r="M52" t="n">
        <v>101.23</v>
      </c>
      <c r="N52" t="n">
        <v>108.13</v>
      </c>
    </row>
    <row r="53">
      <c r="A53" t="inlineStr">
        <is>
          <t>2026-07-06</t>
        </is>
      </c>
      <c r="B53" t="n">
        <v>218.45</v>
      </c>
      <c r="C53" t="n">
        <v>381.3</v>
      </c>
      <c r="D53" t="n">
        <v>1419.4</v>
      </c>
      <c r="E53" t="n">
        <v>39242.05</v>
      </c>
      <c r="F53" t="n">
        <v>24206.9</v>
      </c>
      <c r="G53" t="n">
        <v>-0.015059</v>
      </c>
      <c r="H53" t="n">
        <v>0.016258</v>
      </c>
      <c r="I53" t="n">
        <v>0.038712</v>
      </c>
      <c r="J53" t="n">
        <v>0.00162</v>
      </c>
      <c r="K53" t="n">
        <v>183.68</v>
      </c>
      <c r="L53" t="n">
        <v>94.06</v>
      </c>
      <c r="M53" t="n">
        <v>105.15</v>
      </c>
      <c r="N53" t="n">
        <v>108.31</v>
      </c>
    </row>
    <row r="54">
      <c r="A54" t="inlineStr">
        <is>
          <t>2026-07-13</t>
        </is>
      </c>
      <c r="B54" t="n">
        <v>226.17</v>
      </c>
      <c r="C54" t="n">
        <v>377.7</v>
      </c>
      <c r="D54" t="n">
        <v>1465.3</v>
      </c>
      <c r="F54" t="n">
        <v>24052.05</v>
      </c>
      <c r="G54" t="n">
        <v>0.03534</v>
      </c>
      <c r="H54" t="n">
        <v>-0.009441</v>
      </c>
      <c r="I54" t="n">
        <v>0.032338</v>
      </c>
      <c r="K54" t="n">
        <v>190.17</v>
      </c>
      <c r="L54" t="n">
        <v>93.17</v>
      </c>
      <c r="M54" t="n">
        <v>108.55</v>
      </c>
    </row>
    <row r="55">
      <c r="A55" t="inlineStr">
        <is>
          <t>2026-07-15</t>
        </is>
      </c>
      <c r="B55" t="n">
        <v>218.97</v>
      </c>
      <c r="C55" t="n">
        <v>380.9</v>
      </c>
      <c r="D55" t="n">
        <v>1441.1</v>
      </c>
      <c r="E55" t="n">
        <v>39381.25</v>
      </c>
      <c r="F55" t="n">
        <v>24078.5</v>
      </c>
      <c r="G55" t="n">
        <v>-0.031834</v>
      </c>
      <c r="H55" t="n">
        <v>0.008472</v>
      </c>
      <c r="I55" t="n">
        <v>-0.016515</v>
      </c>
      <c r="J55" t="n">
        <v>0.003547</v>
      </c>
      <c r="K55" t="n">
        <v>184.12</v>
      </c>
      <c r="L55" t="n">
        <v>93.95999999999999</v>
      </c>
      <c r="M55" t="n">
        <v>106.76</v>
      </c>
      <c r="N55" t="n">
        <v>108.69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6" t="inlineStr">
        <is>
          <t>07-Jul-2025</t>
        </is>
      </c>
      <c r="B6" s="16" t="inlineStr">
        <is>
          <t>Completed acquisition of Vidarbha Industries Power Ltd (600 MW) — total capacity to 18,150 MW</t>
        </is>
      </c>
      <c r="C6" s="20" t="inlineStr">
        <is>
          <t>Not quantified in sources found</t>
        </is>
      </c>
      <c r="D6" s="16" t="inlineStr"/>
    </row>
    <row r="7" ht="45" customHeight="1">
      <c r="A7" s="16" t="inlineStr">
        <is>
          <t>01-Aug-2025</t>
        </is>
      </c>
      <c r="B7" s="16" t="inlineStr">
        <is>
          <t>Q1 FY26 results: PAT ₹3,305 cr (down 15.5% YoY); 1:5 stock split announced</t>
        </is>
      </c>
      <c r="C7" s="20" t="inlineStr">
        <is>
          <t>Not quantified</t>
        </is>
      </c>
      <c r="D7" s="16" t="inlineStr"/>
    </row>
    <row r="8" ht="45" customHeight="1">
      <c r="A8" s="16" t="inlineStr">
        <is>
          <t>Sep-2025</t>
        </is>
      </c>
      <c r="B8" s="16" t="inlineStr">
        <is>
          <t>Adani Power–Druk Green (Bhutan) Shareholders Agreement — 570 MW Wangchhu hydro (~₹6,000 cr)</t>
        </is>
      </c>
      <c r="C8" s="20" t="inlineStr">
        <is>
          <t>Not quantified</t>
        </is>
      </c>
      <c r="D8" s="16" t="inlineStr"/>
    </row>
    <row r="9" ht="45" customHeight="1">
      <c r="A9" s="16" t="inlineStr">
        <is>
          <t>22-Sep-2025</t>
        </is>
      </c>
      <c r="B9" s="16" t="inlineStr">
        <is>
          <t>1:5 stock split effective (face value ₹10→₹2)</t>
        </is>
      </c>
      <c r="C9" s="16" t="inlineStr">
        <is>
          <t>Mechanical price adjustment (~1/5th), not a market reaction</t>
        </is>
      </c>
      <c r="D9" s="16" t="inlineStr"/>
    </row>
    <row r="10" ht="45" customHeight="1">
      <c r="A10" s="16" t="inlineStr">
        <is>
          <t>30-Oct-2025</t>
        </is>
      </c>
      <c r="B10" s="16" t="inlineStr">
        <is>
          <t>Q2 FY26 results: PAT ~₹2,906-2,953 cr (down ~11-12% YoY); secured 4.5 GW new long-term PPAs</t>
        </is>
      </c>
      <c r="C10" s="20" t="inlineStr">
        <is>
          <t>Not quantified</t>
        </is>
      </c>
      <c r="D10" s="16" t="inlineStr"/>
    </row>
    <row r="11" ht="45" customHeight="1">
      <c r="A11" s="16" t="inlineStr">
        <is>
          <t>14-Nov-2025</t>
        </is>
      </c>
      <c r="B11" s="16" t="inlineStr">
        <is>
          <t>Letter of Award — 3,200 MW Assam UMPP (~₹48,000 cr investment, DBFOO)</t>
        </is>
      </c>
      <c r="C11" s="16" t="inlineStr">
        <is>
          <t>'Share price surge reported' (source did not quantify %)</t>
        </is>
      </c>
      <c r="D11" s="16" t="inlineStr"/>
    </row>
    <row r="12" ht="45" customHeight="1">
      <c r="A12" s="16" t="inlineStr">
        <is>
          <t>Nov-2025</t>
        </is>
      </c>
      <c r="B12" s="16" t="inlineStr">
        <is>
          <t>24% stake in Jaiprakash Power Ventures via ₹14,535 cr resolution plan — creditors approved (89% votes)</t>
        </is>
      </c>
      <c r="C12" s="16" t="inlineStr">
        <is>
          <t>JP Power (the target) stock jumped ~29% in two days — Adani Power's own reaction not quantified in sources found</t>
        </is>
      </c>
      <c r="D12" s="16" t="inlineStr"/>
    </row>
    <row r="13" ht="45" customHeight="1">
      <c r="A13" s="16" t="inlineStr">
        <is>
          <t>05-Jan-2026</t>
        </is>
      </c>
      <c r="B13" s="16" t="inlineStr">
        <is>
          <t>News coverage: stock up ~40% over trailing 12 months</t>
        </is>
      </c>
      <c r="C13" s="16" t="inlineStr">
        <is>
          <t>+40% (12-mo, as reported that day)</t>
        </is>
      </c>
      <c r="D13" s="16" t="inlineStr">
        <is>
          <t>146.20</t>
        </is>
      </c>
    </row>
    <row r="14" ht="45" customHeight="1">
      <c r="A14" s="16" t="inlineStr">
        <is>
          <t>11-Feb-2026</t>
        </is>
      </c>
      <c r="B14" s="16" t="inlineStr">
        <is>
          <t>Incorporation of Adani Atomic Energy Ltd — entry into nuclear power</t>
        </is>
      </c>
      <c r="C14" s="20" t="inlineStr">
        <is>
          <t>Not quantified</t>
        </is>
      </c>
      <c r="D14" s="16" t="inlineStr"/>
    </row>
    <row r="15" ht="45" customHeight="1">
      <c r="A15" s="16" t="inlineStr">
        <is>
          <t>~Mar-2026</t>
        </is>
      </c>
      <c r="B15" s="16" t="inlineStr">
        <is>
          <t>NCLT approval of Jaiprakash Power Ventures resolution plan</t>
        </is>
      </c>
      <c r="C15" s="20" t="inlineStr">
        <is>
          <t>Not quantified</t>
        </is>
      </c>
      <c r="D15" s="16" t="inlineStr"/>
    </row>
    <row r="16" ht="45" customHeight="1">
      <c r="A16" s="16" t="inlineStr">
        <is>
          <t>29-Apr-2026</t>
        </is>
      </c>
      <c r="B16" s="16" t="inlineStr">
        <is>
          <t>Q4/FY26 results: Q4 PAT ₹4,271 cr (+64% YoY); FY26 PAT ₹12,971 cr vs ₹12,750 cr FY25</t>
        </is>
      </c>
      <c r="C16" s="20" t="inlineStr">
        <is>
          <t>Not quantified</t>
        </is>
      </c>
      <c r="D16" s="16" t="inlineStr"/>
    </row>
    <row r="17" ht="45" customHeight="1">
      <c r="A17" s="16" t="inlineStr">
        <is>
          <t>05-May-2026</t>
        </is>
      </c>
      <c r="B17" s="16" t="inlineStr">
        <is>
          <t>Stock hits 52-week high, intraday</t>
        </is>
      </c>
      <c r="C17" s="16" t="inlineStr">
        <is>
          <t>Record high reached</t>
        </is>
      </c>
      <c r="D17" s="16" t="inlineStr">
        <is>
          <t>234.35</t>
        </is>
      </c>
    </row>
    <row r="18" ht="45" customHeight="1">
      <c r="A18" s="16" t="inlineStr">
        <is>
          <t>22-May-2026</t>
        </is>
      </c>
      <c r="B18" s="16" t="inlineStr">
        <is>
          <t>Profit-booking reported post ~100% 1-year return</t>
        </is>
      </c>
      <c r="C18" s="16" t="inlineStr">
        <is>
          <t>~6% off high; ~100% 1-yr return cited that day</t>
        </is>
      </c>
      <c r="D18" s="16" t="inlineStr">
        <is>
          <t>~220.00</t>
        </is>
      </c>
    </row>
    <row r="19" ht="45" customHeight="1">
      <c r="A19" s="16" t="inlineStr">
        <is>
          <t>13-Jul-2026</t>
        </is>
      </c>
      <c r="B19" s="16" t="inlineStr">
        <is>
          <t>Filing on encumbrance/non-disposal undertaking re: Jaiprakash Power shares (in role as JPVL implementing entity)</t>
        </is>
      </c>
      <c r="C19" s="20" t="inlineStr">
        <is>
          <t>Not quantified</t>
        </is>
      </c>
      <c r="D19" s="16"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2026-07-13</t>
        </is>
      </c>
      <c r="B54" t="n">
        <v>226.17</v>
      </c>
    </row>
    <row r="55">
      <c r="A55" t="inlineStr">
        <is>
          <t>2026-07-15</t>
        </is>
      </c>
      <c r="B55" t="n">
        <v>218.97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Revenue/Total Income, PAT and Total Assets series (Sheet 2), the Ind AS 108 segment tables (Sheet 6), the AOC-1 group structure (Sheets 7-8) and the Investments detail (Sheet 9) are all PRIMARY-VERIFIED from the audited Annual Reports stored in this repo. Only the FY-end share-price rows in Sheet 2 remain to be filled (from NSE/Yahoo historical data).</t>
        </is>
      </c>
    </row>
    <row r="7"/>
    <row r="8"/>
    <row r="9"/>
    <row r="10"/>
    <row r="11"/>
    <row r="13">
      <c r="A13" s="23"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Rule 5(1)/BRSR 'permanent employees on the rolls of the Company'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FY22-FY26, all three companies — still not filled; pull from NSE historical data or Yahoo Finance (split-adjust Adani Power for its Sep-2025 1:5 split).</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54-week adjusted-close series for all 3 stocks + Nifty 50 + Nifty Energy parsed from Yahoo HTML files in the repo; returns, volatility, and market &amp; sector betas computed in Sheet 11. Still open: year-end FY22-FY26 share prices for the Sheet 2 growth table.</t>
        </is>
      </c>
    </row>
    <row r="31" ht="30" customHeight="1">
      <c r="A31" s="14"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32" ht="30" customHeight="1">
      <c r="A32" s="14" t="inlineStr">
        <is>
          <t>7. Subsidiary lists — DONE: Sheets 7-8 now carry the verified FY26 AOC-1 data (Adani 19 entities incl. Mahan at 94% and Moxie consolidated at 49%; Tata ~113 entities incl. TPREL at 88.57%; Torrent ~60 entities). Only Torrent's associates (Part B) remain unextracted.</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2026-07-16T06:03:34Z</dcterms:created>
  <dcterms:modified xsi:type="dcterms:W3CDTF">2026-07-16T06:03:34Z</dcterms:modified>
</cp:coreProperties>
</file>
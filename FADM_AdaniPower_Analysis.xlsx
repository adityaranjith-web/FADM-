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 name="14_References" sheetId="20" state="visible" r:id="rId20"/>
    <sheet name="Adani_BS_Consolidated" sheetId="21" state="visible" r:id="rId21"/>
    <sheet name="Adani_PL_Consolidated" sheetId="22" state="visible" r:id="rId22"/>
    <sheet name="Tata_BS_Consolidated" sheetId="23" state="visible" r:id="rId23"/>
    <sheet name="Tata_PL_Consolidated" sheetId="24" state="visible" r:id="rId24"/>
    <sheet name="Torrent_BS_Consolidated" sheetId="25" state="visible" r:id="rId25"/>
    <sheet name="Torrent_PL_Consolidated" sheetId="26" state="visible" r:id="rId26"/>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1">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color rgb="001F4E78"/>
    </font>
    <font>
      <color rgb="00000000"/>
    </font>
    <font>
      <b val="1"/>
      <color rgb="00008000"/>
    </font>
    <font>
      <b val="1"/>
      <color rgb="00008000"/>
      <sz val="12"/>
    </font>
    <font>
      <b val="1"/>
      <color rgb="00FFFFFF"/>
    </font>
    <font/>
    <font>
      <b val="1"/>
      <color rgb="001F4E78"/>
    </font>
    <font>
      <b val="1"/>
      <color rgb="001F4E78"/>
      <sz val="11"/>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4" fontId="0"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4" fontId="13" fillId="0" borderId="1" applyAlignment="1" pivotButton="0" quotePrefix="0" xfId="0">
      <alignment vertical="top" wrapText="1"/>
    </xf>
    <xf numFmtId="0" fontId="13" fillId="0" borderId="1" applyAlignment="1" pivotButton="0" quotePrefix="0" xfId="0">
      <alignment vertical="top" wrapText="1"/>
    </xf>
    <xf numFmtId="165" fontId="13" fillId="0" borderId="1" applyAlignment="1" pivotButton="0" quotePrefix="0" xfId="0">
      <alignment vertical="top" wrapText="1"/>
    </xf>
    <xf numFmtId="10" fontId="13" fillId="0" borderId="1" applyAlignment="1" pivotButton="0" quotePrefix="0" xfId="0">
      <alignment vertical="top" wrapText="1"/>
    </xf>
    <xf numFmtId="4" fontId="14" fillId="0" borderId="1" applyAlignment="1" pivotButton="0" quotePrefix="0" xfId="0">
      <alignment vertical="top" wrapText="1"/>
    </xf>
    <xf numFmtId="165" fontId="14" fillId="0" borderId="1" applyAlignment="1" pivotButton="0" quotePrefix="0" xfId="0">
      <alignment vertical="top" wrapText="1"/>
    </xf>
    <xf numFmtId="0" fontId="15" fillId="0" borderId="0" pivotButton="0" quotePrefix="0" xfId="0"/>
    <xf numFmtId="10" fontId="0" fillId="0" borderId="0" pivotButton="0" quotePrefix="0" xfId="0"/>
    <xf numFmtId="0" fontId="16" fillId="0" borderId="0" pivotButton="0" quotePrefix="0" xfId="0"/>
    <xf numFmtId="0" fontId="10" fillId="0" borderId="0" applyAlignment="1" pivotButton="0" quotePrefix="0" xfId="0">
      <alignment vertical="top" wrapText="1"/>
    </xf>
    <xf numFmtId="0" fontId="20" fillId="0" borderId="0" pivotButton="0" quotePrefix="0" xfId="0"/>
    <xf numFmtId="0" fontId="10" fillId="0" borderId="0" applyAlignment="1" pivotButton="0" quotePrefix="0" xfId="0">
      <alignment wrapText="1"/>
    </xf>
    <xf numFmtId="0" fontId="17" fillId="3" borderId="0" pivotButton="0" quotePrefix="0" xfId="0"/>
    <xf numFmtId="0" fontId="17" fillId="3" borderId="0" applyAlignment="1" pivotButton="0" quotePrefix="0" xfId="0">
      <alignment horizontal="center"/>
    </xf>
    <xf numFmtId="0" fontId="12" fillId="0" borderId="1" pivotButton="0" quotePrefix="0" xfId="0"/>
    <xf numFmtId="4" fontId="0" fillId="0" borderId="1" pivotButton="0" quotePrefix="0" xfId="0"/>
    <xf numFmtId="0" fontId="18" fillId="0" borderId="1" pivotButton="0" quotePrefix="0" xfId="0"/>
    <xf numFmtId="4" fontId="19"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'Weekly_Price_Data'!L1</f>
            </strRef>
          </tx>
          <spPr>
            <a:ln>
              <a:prstDash val="solid"/>
            </a:ln>
          </spPr>
          <marker>
            <symbol val="none"/>
            <spPr>
              <a:ln>
                <a:prstDash val="solid"/>
              </a:ln>
            </spPr>
          </marker>
          <cat>
            <numRef>
              <f>'Weekly_Price_Data'!$A$2:$A$54</f>
            </numRef>
          </cat>
          <val>
            <numRef>
              <f>'Weekly_Price_Data'!$L$2:$L$54</f>
            </numRef>
          </val>
        </ser>
        <ser>
          <idx val="1"/>
          <order val="1"/>
          <tx>
            <strRef>
              <f>'Weekly_Price_Data'!M1</f>
            </strRef>
          </tx>
          <spPr>
            <a:ln>
              <a:prstDash val="solid"/>
            </a:ln>
          </spPr>
          <marker>
            <symbol val="none"/>
            <spPr>
              <a:ln>
                <a:prstDash val="solid"/>
              </a:ln>
            </spPr>
          </marker>
          <cat>
            <numRef>
              <f>'Weekly_Price_Data'!$A$2:$A$54</f>
            </numRef>
          </cat>
          <val>
            <numRef>
              <f>'Weekly_Price_Data'!$M$2:$M$54</f>
            </numRef>
          </val>
        </ser>
        <ser>
          <idx val="2"/>
          <order val="2"/>
          <tx>
            <strRef>
              <f>'Weekly_Price_Data'!N1</f>
            </strRef>
          </tx>
          <spPr>
            <a:ln>
              <a:prstDash val="solid"/>
            </a:ln>
          </spPr>
          <marker>
            <symbol val="none"/>
            <spPr>
              <a:ln>
                <a:prstDash val="solid"/>
              </a:ln>
            </spPr>
          </marker>
          <cat>
            <numRef>
              <f>'Weekly_Price_Data'!$A$2:$A$54</f>
            </numRef>
          </cat>
          <val>
            <numRef>
              <f>'Weekly_Price_Data'!$N$2:$N$54</f>
            </numRef>
          </val>
        </ser>
        <ser>
          <idx val="3"/>
          <order val="3"/>
          <tx>
            <strRef>
              <f>'Weekly_Price_Data'!O1</f>
            </strRef>
          </tx>
          <spPr>
            <a:ln>
              <a:prstDash val="solid"/>
            </a:ln>
          </spPr>
          <marker>
            <symbol val="none"/>
            <spPr>
              <a:ln>
                <a:prstDash val="solid"/>
              </a:ln>
            </spPr>
          </marker>
          <cat>
            <numRef>
              <f>'Weekly_Price_Data'!$A$2:$A$54</f>
            </numRef>
          </cat>
          <val>
            <numRef>
              <f>'Weekly_Price_Data'!$O$2:$O$54</f>
            </numRef>
          </val>
        </ser>
        <ser>
          <idx val="4"/>
          <order val="4"/>
          <tx>
            <strRef>
              <f>'Weekly_Price_Data'!P1</f>
            </strRef>
          </tx>
          <spPr>
            <a:ln>
              <a:prstDash val="solid"/>
            </a:ln>
          </spPr>
          <marker>
            <symbol val="none"/>
            <spPr>
              <a:ln>
                <a:prstDash val="solid"/>
              </a:ln>
            </spPr>
          </marker>
          <cat>
            <numRef>
              <f>'Weekly_Price_Data'!$A$2:$A$54</f>
            </numRef>
          </cat>
          <val>
            <numRef>
              <f>'Weekly_Price_Data'!$P$2:$P$54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'12b_Announcement_Chart_Data'!$A$2:$A$54</f>
            </numRef>
          </cat>
          <val>
            <numRef>
              <f>'12b_Announcement_Chart_Data'!$B$2:$B$54</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C26"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D26"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E26"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F26" authorId="0" shapeId="0">
      <text>
        <t>Adjusted close of the week containing 31-Mar-2026 (week starting 30-Mar-2026), from the Yahoo Finance weekly series stored in this repo (see Weekly_Price_Data sheet). Split-adjusted.</t>
      </text>
    </comment>
    <comment ref="B27"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C27"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D27"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E27"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F27" authorId="0" shapeId="0">
      <text>
        <t>Adjusted close of the week containing 31-Mar-2026 (week starting 30-Mar-2026), from the Yahoo Finance weekly series stored in this repo (see Weekly_Price_Data sheet). Split-adjusted.</t>
      </text>
    </comment>
    <comment ref="B28"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C28"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D28"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E28" authorId="0" shapeId="0">
      <text>
        <t>FY-end (31 March) closing prices for FY22-FY25 are outside the 1-year weekly price window downloaded to this repo. Pull from NSE historical data / Yahoo Finance (finance.yahoo.com/quote/&lt;TICKER&gt;.NS/history) — NOTE: Adani Power did a 1:5 stock split effective 22-Sep-2025, so use SPLIT-ADJUSTED prices for a like-for-like series.</t>
      </text>
    </comment>
    <comment ref="F28" authorId="0" shapeId="0">
      <text>
        <t>Adjusted close of the week containing 31-Mar-2026 (week starting 30-Mar-2026), from the Yahoo Finance weekly series stored in this repo (see Weekly_Price_Data sheet). Split-adjusted.</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33" t="inlineStr">
        <is>
          <t>Detailed per-company Consolidated Financial Statements (6 sheets, live formulas):</t>
        </is>
      </c>
    </row>
    <row r="36">
      <c r="B36" t="inlineStr">
        <is>
          <t>Adani_BS_Consolidated, Adani_PL_Consolidated, Tata_BS_Consolidated, Tata_PL_Consolidated, Torrent_BS_Consolidated, Torrent_PL_Consolidated</t>
        </is>
      </c>
    </row>
    <row r="37">
      <c r="B37" s="12" t="inlineStr">
        <is>
          <t>(green 'Total' cells are Excel formulas referencing the line items above — click any to see the calculation)</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adj. close, year-end 31-Mar)</t>
        </is>
      </c>
    </row>
    <row r="26">
      <c r="A26" t="inlineStr">
        <is>
          <t>Adani Power — Year-end share price</t>
        </is>
      </c>
      <c r="B26" s="3" t="inlineStr">
        <is>
          <t>TO FILL</t>
        </is>
      </c>
      <c r="C26" s="3" t="inlineStr">
        <is>
          <t>TO FILL</t>
        </is>
      </c>
      <c r="D26" s="3" t="inlineStr">
        <is>
          <t>TO FILL</t>
        </is>
      </c>
      <c r="E26" s="3" t="inlineStr">
        <is>
          <t>TO FILL</t>
        </is>
      </c>
      <c r="F26" s="19" t="n">
        <v>159.97</v>
      </c>
    </row>
    <row r="27">
      <c r="A27" t="inlineStr">
        <is>
          <t>Tata Power — Year-end share price</t>
        </is>
      </c>
      <c r="B27" s="3" t="inlineStr">
        <is>
          <t>TO FILL</t>
        </is>
      </c>
      <c r="C27" s="3" t="inlineStr">
        <is>
          <t>TO FILL</t>
        </is>
      </c>
      <c r="D27" s="3" t="inlineStr">
        <is>
          <t>TO FILL</t>
        </is>
      </c>
      <c r="E27" s="3" t="inlineStr">
        <is>
          <t>TO FILL</t>
        </is>
      </c>
      <c r="F27" s="19" t="n">
        <v>382.63</v>
      </c>
    </row>
    <row r="28">
      <c r="A28" t="inlineStr">
        <is>
          <t>Torrent Power — Year-end share price</t>
        </is>
      </c>
      <c r="B28" s="3" t="inlineStr">
        <is>
          <t>TO FILL</t>
        </is>
      </c>
      <c r="C28" s="3" t="inlineStr">
        <is>
          <t>TO FILL</t>
        </is>
      </c>
      <c r="D28" s="3" t="inlineStr">
        <is>
          <t>TO FILL</t>
        </is>
      </c>
      <c r="E28" s="3" t="inlineStr">
        <is>
          <t>TO FILL</t>
        </is>
      </c>
      <c r="F28" s="19" t="n">
        <v>1327.6</v>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31:G35"/>
    <mergeCell ref="A17:G17"/>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20">
        <f>IFERROR(IF(OR(ISTEXT('2_Growth_Comparison'!B7),ISTEXT('2_Growth_Comparison'!B9)),"N/A",'2_Growth_Comparison'!B7/'2_Growth_Comparison'!B9),"N/A")</f>
        <v/>
      </c>
      <c r="C7" s="20">
        <f>IFERROR(IF(OR(ISTEXT('2_Growth_Comparison'!C7),ISTEXT('2_Growth_Comparison'!C9)),"N/A",'2_Growth_Comparison'!C7/'2_Growth_Comparison'!C9),"N/A")</f>
        <v/>
      </c>
      <c r="D7" s="20">
        <f>IFERROR(IF(OR(ISTEXT('2_Growth_Comparison'!D7),ISTEXT('2_Growth_Comparison'!D9)),"N/A",'2_Growth_Comparison'!D7/'2_Growth_Comparison'!D9),"N/A")</f>
        <v/>
      </c>
      <c r="E7" s="20">
        <f>IFERROR(IF(OR(ISTEXT('2_Growth_Comparison'!E7),ISTEXT('2_Growth_Comparison'!E9)),"N/A",'2_Growth_Comparison'!E7/'2_Growth_Comparison'!E9),"N/A")</f>
        <v/>
      </c>
      <c r="F7" s="20">
        <f>IFERROR(IF(OR(ISTEXT('2_Growth_Comparison'!F7),ISTEXT('2_Growth_Comparison'!F9)),"N/A",'2_Growth_Comparison'!F7/'2_Growth_Comparison'!F9),"N/A")</f>
        <v/>
      </c>
    </row>
    <row r="8">
      <c r="A8" s="2" t="inlineStr">
        <is>
          <t>Adani Power — Sales / Employee (₹ lakh)</t>
        </is>
      </c>
      <c r="B8" s="20">
        <f>IFERROR(IF(OR(ISTEXT('2_Growth_Comparison'!B7),ISTEXT('2_Growth_Comparison'!B10)),"N/A",'2_Growth_Comparison'!B7*100/'2_Growth_Comparison'!B10),"N/A")</f>
        <v/>
      </c>
      <c r="C8" s="20">
        <f>IFERROR(IF(OR(ISTEXT('2_Growth_Comparison'!C7),ISTEXT('2_Growth_Comparison'!C10)),"N/A",'2_Growth_Comparison'!C7*100/'2_Growth_Comparison'!C10),"N/A")</f>
        <v/>
      </c>
      <c r="D8" s="20">
        <f>IFERROR(IF(OR(ISTEXT('2_Growth_Comparison'!D7),ISTEXT('2_Growth_Comparison'!D10)),"N/A",'2_Growth_Comparison'!D7*100/'2_Growth_Comparison'!D10),"N/A")</f>
        <v/>
      </c>
      <c r="E8" s="20">
        <f>IFERROR(IF(OR(ISTEXT('2_Growth_Comparison'!E7),ISTEXT('2_Growth_Comparison'!E10)),"N/A",'2_Growth_Comparison'!E7*100/'2_Growth_Comparison'!E10),"N/A")</f>
        <v/>
      </c>
      <c r="F8" s="20">
        <f>IFERROR(IF(OR(ISTEXT('2_Growth_Comparison'!F7),ISTEXT('2_Growth_Comparison'!F10)),"N/A",'2_Growth_Comparison'!F7*100/'2_Growth_Comparison'!F10),"N/A")</f>
        <v/>
      </c>
    </row>
    <row r="10">
      <c r="A10" s="2" t="inlineStr">
        <is>
          <t>Tata Power — Sales / Total Assets (x)</t>
        </is>
      </c>
      <c r="B10" s="20">
        <f>IFERROR(IF(OR(ISTEXT('2_Growth_Comparison'!B13),ISTEXT('2_Growth_Comparison'!B15)),"N/A",'2_Growth_Comparison'!B13/'2_Growth_Comparison'!B15),"N/A")</f>
        <v/>
      </c>
      <c r="C10" s="20">
        <f>IFERROR(IF(OR(ISTEXT('2_Growth_Comparison'!C13),ISTEXT('2_Growth_Comparison'!C15)),"N/A",'2_Growth_Comparison'!C13/'2_Growth_Comparison'!C15),"N/A")</f>
        <v/>
      </c>
      <c r="D10" s="20">
        <f>IFERROR(IF(OR(ISTEXT('2_Growth_Comparison'!D13),ISTEXT('2_Growth_Comparison'!D15)),"N/A",'2_Growth_Comparison'!D13/'2_Growth_Comparison'!D15),"N/A")</f>
        <v/>
      </c>
      <c r="E10" s="20">
        <f>IFERROR(IF(OR(ISTEXT('2_Growth_Comparison'!E13),ISTEXT('2_Growth_Comparison'!E15)),"N/A",'2_Growth_Comparison'!E13/'2_Growth_Comparison'!E15),"N/A")</f>
        <v/>
      </c>
      <c r="F10" s="20">
        <f>IFERROR(IF(OR(ISTEXT('2_Growth_Comparison'!F13),ISTEXT('2_Growth_Comparison'!F15)),"N/A",'2_Growth_Comparison'!F13/'2_Growth_Comparison'!F15),"N/A")</f>
        <v/>
      </c>
    </row>
    <row r="11">
      <c r="A11" s="2" t="inlineStr">
        <is>
          <t>Tata Power — Sales / Employee (₹ lakh)</t>
        </is>
      </c>
      <c r="B11" s="20">
        <f>IFERROR(IF(OR(ISTEXT('2_Growth_Comparison'!B13),ISTEXT('2_Growth_Comparison'!B16)),"N/A",'2_Growth_Comparison'!B13*100/'2_Growth_Comparison'!B16),"N/A")</f>
        <v/>
      </c>
      <c r="C11" s="20">
        <f>IFERROR(IF(OR(ISTEXT('2_Growth_Comparison'!C13),ISTEXT('2_Growth_Comparison'!C16)),"N/A",'2_Growth_Comparison'!C13*100/'2_Growth_Comparison'!C16),"N/A")</f>
        <v/>
      </c>
      <c r="D11" s="20">
        <f>IFERROR(IF(OR(ISTEXT('2_Growth_Comparison'!D13),ISTEXT('2_Growth_Comparison'!D16)),"N/A",'2_Growth_Comparison'!D13*100/'2_Growth_Comparison'!D16),"N/A")</f>
        <v/>
      </c>
      <c r="E11" s="20">
        <f>IFERROR(IF(OR(ISTEXT('2_Growth_Comparison'!E13),ISTEXT('2_Growth_Comparison'!E16)),"N/A",'2_Growth_Comparison'!E13*100/'2_Growth_Comparison'!E16),"N/A")</f>
        <v/>
      </c>
      <c r="F11" s="20">
        <f>IFERROR(IF(OR(ISTEXT('2_Growth_Comparison'!F13),ISTEXT('2_Growth_Comparison'!F16)),"N/A",'2_Growth_Comparison'!F13*100/'2_Growth_Comparison'!F16),"N/A")</f>
        <v/>
      </c>
    </row>
    <row r="13">
      <c r="A13" s="2" t="inlineStr">
        <is>
          <t>Torrent Power — Sales / Total Assets (x)</t>
        </is>
      </c>
      <c r="B13" s="20">
        <f>IFERROR(IF(OR(ISTEXT('2_Growth_Comparison'!B19),ISTEXT('2_Growth_Comparison'!B21)),"N/A",'2_Growth_Comparison'!B19/'2_Growth_Comparison'!B21),"N/A")</f>
        <v/>
      </c>
      <c r="C13" s="20">
        <f>IFERROR(IF(OR(ISTEXT('2_Growth_Comparison'!C19),ISTEXT('2_Growth_Comparison'!C21)),"N/A",'2_Growth_Comparison'!C19/'2_Growth_Comparison'!C21),"N/A")</f>
        <v/>
      </c>
      <c r="D13" s="20">
        <f>IFERROR(IF(OR(ISTEXT('2_Growth_Comparison'!D19),ISTEXT('2_Growth_Comparison'!D21)),"N/A",'2_Growth_Comparison'!D19/'2_Growth_Comparison'!D21),"N/A")</f>
        <v/>
      </c>
      <c r="E13" s="20">
        <f>IFERROR(IF(OR(ISTEXT('2_Growth_Comparison'!E19),ISTEXT('2_Growth_Comparison'!E21)),"N/A",'2_Growth_Comparison'!E19/'2_Growth_Comparison'!E21),"N/A")</f>
        <v/>
      </c>
      <c r="F13" s="20">
        <f>IFERROR(IF(OR(ISTEXT('2_Growth_Comparison'!F19),ISTEXT('2_Growth_Comparison'!F21)),"N/A",'2_Growth_Comparison'!F19/'2_Growth_Comparison'!F21),"N/A")</f>
        <v/>
      </c>
    </row>
    <row r="14">
      <c r="A14" s="2" t="inlineStr">
        <is>
          <t>Torrent Power — Sales / Employee (₹ lakh)</t>
        </is>
      </c>
      <c r="B14" s="20">
        <f>IFERROR(IF(OR(ISTEXT('2_Growth_Comparison'!B19),ISTEXT('2_Growth_Comparison'!B22)),"N/A",'2_Growth_Comparison'!B19*100/'2_Growth_Comparison'!B22),"N/A")</f>
        <v/>
      </c>
      <c r="C14" s="20">
        <f>IFERROR(IF(OR(ISTEXT('2_Growth_Comparison'!C19),ISTEXT('2_Growth_Comparison'!C22)),"N/A",'2_Growth_Comparison'!C19*100/'2_Growth_Comparison'!C22),"N/A")</f>
        <v/>
      </c>
      <c r="D14" s="20">
        <f>IFERROR(IF(OR(ISTEXT('2_Growth_Comparison'!D19),ISTEXT('2_Growth_Comparison'!D22)),"N/A",'2_Growth_Comparison'!D19*100/'2_Growth_Comparison'!D22),"N/A")</f>
        <v/>
      </c>
      <c r="E14" s="20">
        <f>IFERROR(IF(OR(ISTEXT('2_Growth_Comparison'!E19),ISTEXT('2_Growth_Comparison'!E22)),"N/A",'2_Growth_Comparison'!E19*100/'2_Growth_Comparison'!E22),"N/A")</f>
        <v/>
      </c>
      <c r="F14" s="20">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1"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1"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2"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then aligned to the 53 dates common to all 5 series (Nifty Energy was missing one date the others had). All 'Total'/stat cells below are LIVE FORMULAS referencing the Weekly_Price_Data sheet.</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t="inlineStr">
        <is>
          <t>Price at start (14-Jul-2025, adj)</t>
        </is>
      </c>
      <c r="B6" s="23">
        <f>'Weekly_Price_Data'!B2</f>
        <v/>
      </c>
      <c r="C6" s="23">
        <f>'Weekly_Price_Data'!C2</f>
        <v/>
      </c>
      <c r="D6" s="23">
        <f>'Weekly_Price_Data'!D2</f>
        <v/>
      </c>
      <c r="E6" s="23">
        <f>'Weekly_Price_Data'!E2</f>
        <v/>
      </c>
      <c r="F6" s="23">
        <f>'Weekly_Price_Data'!F2</f>
        <v/>
      </c>
    </row>
    <row r="7" ht="26" customHeight="1">
      <c r="A7" t="inlineStr">
        <is>
          <t>Price at end (15-Jul-2026)</t>
        </is>
      </c>
      <c r="B7" s="23">
        <f>'Weekly_Price_Data'!B54</f>
        <v/>
      </c>
      <c r="C7" s="23">
        <f>'Weekly_Price_Data'!C54</f>
        <v/>
      </c>
      <c r="D7" s="23">
        <f>'Weekly_Price_Data'!D54</f>
        <v/>
      </c>
      <c r="E7" s="23">
        <f>'Weekly_Price_Data'!E54</f>
        <v/>
      </c>
      <c r="F7" s="23">
        <f>'Weekly_Price_Data'!F54</f>
        <v/>
      </c>
    </row>
    <row r="8" ht="26" customHeight="1">
      <c r="A8" t="inlineStr">
        <is>
          <t>52-week weekly-close range</t>
        </is>
      </c>
      <c r="B8" s="24">
        <f>MIN('Weekly_Price_Data'!B2:B54)&amp;" - "&amp;MAX('Weekly_Price_Data'!B2:B54)</f>
        <v/>
      </c>
      <c r="C8" s="24">
        <f>MIN('Weekly_Price_Data'!C2:C54)&amp;" - "&amp;MAX('Weekly_Price_Data'!C2:C54)</f>
        <v/>
      </c>
      <c r="D8" s="24">
        <f>MIN('Weekly_Price_Data'!D2:D54)&amp;" - "&amp;MAX('Weekly_Price_Data'!D2:D54)</f>
        <v/>
      </c>
      <c r="E8" s="24">
        <f>MIN('Weekly_Price_Data'!E2:E54)&amp;" - "&amp;MAX('Weekly_Price_Data'!E2:E54)</f>
        <v/>
      </c>
      <c r="F8" s="24">
        <f>MIN('Weekly_Price_Data'!F2:F54)&amp;" - "&amp;MAX('Weekly_Price_Data'!F2:F54)</f>
        <v/>
      </c>
    </row>
    <row r="9" ht="26" customHeight="1">
      <c r="A9" t="inlineStr">
        <is>
          <t>1-year return (COMPUTED)</t>
        </is>
      </c>
      <c r="B9" s="25">
        <f>'Weekly_Price_Data'!B54/'Weekly_Price_Data'!B2-1</f>
        <v/>
      </c>
      <c r="C9" s="25">
        <f>'Weekly_Price_Data'!C54/'Weekly_Price_Data'!C2-1</f>
        <v/>
      </c>
      <c r="D9" s="25">
        <f>'Weekly_Price_Data'!D54/'Weekly_Price_Data'!D2-1</f>
        <v/>
      </c>
      <c r="E9" s="25">
        <f>'Weekly_Price_Data'!E54/'Weekly_Price_Data'!E2-1</f>
        <v/>
      </c>
      <c r="F9" s="25">
        <f>'Weekly_Price_Data'!F54/'Weekly_Price_Data'!F2-1</f>
        <v/>
      </c>
    </row>
    <row r="10" ht="26" customHeight="1">
      <c r="A10" t="inlineStr">
        <is>
          <t>Weekly return std dev (COMPUTED)</t>
        </is>
      </c>
      <c r="B10" s="26">
        <f>STDEV('Weekly_Price_Data'!G3:G54)</f>
        <v/>
      </c>
      <c r="C10" s="26">
        <f>STDEV('Weekly_Price_Data'!H3:H54)</f>
        <v/>
      </c>
      <c r="D10" s="26">
        <f>STDEV('Weekly_Price_Data'!I3:I54)</f>
        <v/>
      </c>
      <c r="E10" s="26">
        <f>STDEV('Weekly_Price_Data'!J3:J54)</f>
        <v/>
      </c>
      <c r="F10" s="26">
        <f>STDEV('Weekly_Price_Data'!K3:K54)</f>
        <v/>
      </c>
    </row>
    <row r="11" ht="26" customHeight="1">
      <c r="A11" t="inlineStr">
        <is>
          <t>Annualized volatility = sd x sqrt(52)</t>
        </is>
      </c>
      <c r="B11" s="25">
        <f>STDEV('Weekly_Price_Data'!G3:G54)*SQRT(52)</f>
        <v/>
      </c>
      <c r="C11" s="25">
        <f>STDEV('Weekly_Price_Data'!H3:H54)*SQRT(52)</f>
        <v/>
      </c>
      <c r="D11" s="25">
        <f>STDEV('Weekly_Price_Data'!I3:I54)*SQRT(52)</f>
        <v/>
      </c>
      <c r="E11" s="25">
        <f>STDEV('Weekly_Price_Data'!J3:J54)*SQRT(52)</f>
        <v/>
      </c>
      <c r="F11" s="25">
        <f>STDEV('Weekly_Price_Data'!K3:K54)*SQRT(52)</f>
        <v/>
      </c>
    </row>
    <row r="12" ht="26" customHeight="1">
      <c r="A12" t="inlineStr">
        <is>
          <t>Beta vs Nifty 50 / market (COMPUTED)</t>
        </is>
      </c>
      <c r="B12" s="23">
        <f>SLOPE('Weekly_Price_Data'!G3:G54,'Weekly_Price_Data'!K3:K54)</f>
        <v/>
      </c>
      <c r="C12" s="23">
        <f>SLOPE('Weekly_Price_Data'!H3:H54,'Weekly_Price_Data'!K3:K54)</f>
        <v/>
      </c>
      <c r="D12" s="23">
        <f>SLOPE('Weekly_Price_Data'!I3:I54,'Weekly_Price_Data'!K3:K54)</f>
        <v/>
      </c>
      <c r="E12" s="23">
        <f>SLOPE('Weekly_Price_Data'!J3:J54,'Weekly_Price_Data'!K3:K54)</f>
        <v/>
      </c>
      <c r="F12" s="23">
        <f>1</f>
        <v/>
      </c>
    </row>
    <row r="13" ht="26" customHeight="1">
      <c r="A13" t="inlineStr">
        <is>
          <t>Beta vs Nifty Energy / sector (COMPUTED)</t>
        </is>
      </c>
      <c r="B13" s="23">
        <f>SLOPE('Weekly_Price_Data'!G3:G54,'Weekly_Price_Data'!J3:J54)</f>
        <v/>
      </c>
      <c r="C13" s="23">
        <f>SLOPE('Weekly_Price_Data'!H3:H54,'Weekly_Price_Data'!J3:J54)</f>
        <v/>
      </c>
      <c r="D13" s="23">
        <f>SLOPE('Weekly_Price_Data'!I3:I54,'Weekly_Price_Data'!J3:J54)</f>
        <v/>
      </c>
      <c r="E13" s="23">
        <f>1</f>
        <v/>
      </c>
      <c r="F13" s="27" t="n"/>
    </row>
    <row r="14" ht="26" customHeight="1">
      <c r="A14" t="inlineStr">
        <is>
          <t>Return vs market (stock - Nifty 50)</t>
        </is>
      </c>
      <c r="B14" s="25">
        <f>('Weekly_Price_Data'!B54/'Weekly_Price_Data'!B2-1)-('Weekly_Price_Data'!F54/'Weekly_Price_Data'!F2-1)</f>
        <v/>
      </c>
      <c r="C14" s="25">
        <f>('Weekly_Price_Data'!C54/'Weekly_Price_Data'!C2-1)-('Weekly_Price_Data'!F54/'Weekly_Price_Data'!F2-1)</f>
        <v/>
      </c>
      <c r="D14" s="25">
        <f>('Weekly_Price_Data'!D54/'Weekly_Price_Data'!D2-1)-('Weekly_Price_Data'!F54/'Weekly_Price_Data'!F2-1)</f>
        <v/>
      </c>
      <c r="E14" s="25">
        <f>('Weekly_Price_Data'!E54/'Weekly_Price_Data'!E2-1)-('Weekly_Price_Data'!F54/'Weekly_Price_Data'!F2-1)</f>
        <v/>
      </c>
      <c r="F14" s="28" t="n"/>
    </row>
    <row r="15" ht="26" customHeight="1">
      <c r="A15" t="inlineStr">
        <is>
          <t>Return vs sector (stock - Nifty Energy)</t>
        </is>
      </c>
      <c r="B15" s="25">
        <f>('Weekly_Price_Data'!B54/'Weekly_Price_Data'!B2-1)-('Weekly_Price_Data'!E54/'Weekly_Price_Data'!E2-1)</f>
        <v/>
      </c>
      <c r="C15" s="25">
        <f>('Weekly_Price_Data'!C54/'Weekly_Price_Data'!C2-1)-('Weekly_Price_Data'!E54/'Weekly_Price_Data'!E2-1)</f>
        <v/>
      </c>
      <c r="D15" s="25">
        <f>('Weekly_Price_Data'!D54/'Weekly_Price_Data'!D2-1)-('Weekly_Price_Data'!E54/'Weekly_Price_Data'!E2-1)</f>
        <v/>
      </c>
      <c r="E15" s="28" t="n"/>
      <c r="F15" s="28" t="n"/>
    </row>
    <row r="17">
      <c r="A17" s="29" t="inlineStr">
        <is>
          <t>Data note</t>
        </is>
      </c>
    </row>
    <row r="18" ht="60" customHeight="1">
      <c r="A18" s="14" t="inlineStr">
        <is>
          <t>COMPLETE: all five series (3 stocks + Nifty 50 + Nifty Energy) parsed from the Yahoo Finance Historical Data pages saved in the repo (53 weekly adjusted-close points each, common to all 5 series,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53 weekly observations, split-adjusted, dates common to all 5 series): ADANI POWER is the most volatile of the three — weekly-return standard deviation 4.95% (annualized ~36%), vs Torrent Power 4.57% (~33%) and Tata Power 2.92% (~21%). The sector index (Nifty Energy) sat at 2.30% weekly (~17% annualized) — all three stocks were roughly 1.3-2.2x as volatile as their sector index. RETURNS: Adani Power massively outperformed (+84% vs the sector's +9%), Torrent Power roughly tracked the sector (+6.8%), and Tata Power underperformed (-6.0%). BETA vs NIFTY ENERGY: 1.33 (Adani), 1.00 (Tata), 1.38 (Torrent) — all near or above 1.0, meaning these stocks move roughly in line with (Adani/Torrent: somewhat more than) their sector index, not decoupled from it. VS THE MARKET: Nifty 50 fell -3.6% over the window, so all three power stocks outperformed the broad market (Adani by ~88 points); market betas vs Nifty 50 are 1.15 (Adani), 0.62 (Tata) and 1.47 (Torrent) — Torrent is the most market-sensitive, Tata the most defensive.</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P54"/>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Nifty50 wk ret</t>
        </is>
      </c>
      <c r="L1" t="inlineStr">
        <is>
          <t>Adani (base=100)</t>
        </is>
      </c>
      <c r="M1" t="inlineStr">
        <is>
          <t>Tata (base=100)</t>
        </is>
      </c>
      <c r="N1" t="inlineStr">
        <is>
          <t>Torrent (base=100)</t>
        </is>
      </c>
      <c r="O1" t="inlineStr">
        <is>
          <t>NiftyEnergy (base=100)</t>
        </is>
      </c>
      <c r="P1" t="inlineStr">
        <is>
          <t>Nifty50 (base=100)</t>
        </is>
      </c>
    </row>
    <row r="2">
      <c r="A2" t="inlineStr">
        <is>
          <t>2025-07-14</t>
        </is>
      </c>
      <c r="B2" t="n">
        <v>118.93</v>
      </c>
      <c r="C2" t="n">
        <v>405.39</v>
      </c>
      <c r="D2" t="n">
        <v>1349.89</v>
      </c>
      <c r="E2" t="n">
        <v>36231.65</v>
      </c>
      <c r="F2" t="n">
        <v>24968.4</v>
      </c>
      <c r="L2" s="20">
        <f>B2/B$2*100</f>
        <v/>
      </c>
      <c r="M2" s="20">
        <f>C2/C$2*100</f>
        <v/>
      </c>
      <c r="N2" s="20">
        <f>D2/D$2*100</f>
        <v/>
      </c>
      <c r="O2" s="20">
        <f>E2/E$2*100</f>
        <v/>
      </c>
      <c r="P2" s="20">
        <f>F2/F$2*100</f>
        <v/>
      </c>
    </row>
    <row r="3">
      <c r="A3" t="inlineStr">
        <is>
          <t>2025-07-21</t>
        </is>
      </c>
      <c r="B3" t="n">
        <v>114</v>
      </c>
      <c r="C3" t="n">
        <v>392.92</v>
      </c>
      <c r="D3" t="n">
        <v>1307.38</v>
      </c>
      <c r="E3" t="n">
        <v>35250.5</v>
      </c>
      <c r="F3" t="n">
        <v>24837</v>
      </c>
      <c r="G3" s="30">
        <f>B3/B2-1</f>
        <v/>
      </c>
      <c r="H3" s="30">
        <f>C3/C2-1</f>
        <v/>
      </c>
      <c r="I3" s="30">
        <f>D3/D2-1</f>
        <v/>
      </c>
      <c r="J3" s="30">
        <f>E3/E2-1</f>
        <v/>
      </c>
      <c r="K3" s="30">
        <f>F3/F2-1</f>
        <v/>
      </c>
      <c r="L3" s="20">
        <f>B3/B$2*100</f>
        <v/>
      </c>
      <c r="M3" s="20">
        <f>C3/C$2*100</f>
        <v/>
      </c>
      <c r="N3" s="20">
        <f>D3/D$2*100</f>
        <v/>
      </c>
      <c r="O3" s="20">
        <f>E3/E$2*100</f>
        <v/>
      </c>
      <c r="P3" s="20">
        <f>F3/F$2*100</f>
        <v/>
      </c>
    </row>
    <row r="4">
      <c r="A4" t="inlineStr">
        <is>
          <t>2025-07-28</t>
        </is>
      </c>
      <c r="B4" t="n">
        <v>113.4</v>
      </c>
      <c r="C4" t="n">
        <v>386.9</v>
      </c>
      <c r="D4" t="n">
        <v>1270.59</v>
      </c>
      <c r="E4" t="n">
        <v>34889</v>
      </c>
      <c r="F4" t="n">
        <v>24565.35</v>
      </c>
      <c r="G4" s="30">
        <f>B4/B3-1</f>
        <v/>
      </c>
      <c r="H4" s="30">
        <f>C4/C3-1</f>
        <v/>
      </c>
      <c r="I4" s="30">
        <f>D4/D3-1</f>
        <v/>
      </c>
      <c r="J4" s="30">
        <f>E4/E3-1</f>
        <v/>
      </c>
      <c r="K4" s="30">
        <f>F4/F3-1</f>
        <v/>
      </c>
      <c r="L4" s="20">
        <f>B4/B$2*100</f>
        <v/>
      </c>
      <c r="M4" s="20">
        <f>C4/C$2*100</f>
        <v/>
      </c>
      <c r="N4" s="20">
        <f>D4/D$2*100</f>
        <v/>
      </c>
      <c r="O4" s="20">
        <f>E4/E$2*100</f>
        <v/>
      </c>
      <c r="P4" s="20">
        <f>F4/F$2*100</f>
        <v/>
      </c>
    </row>
    <row r="5">
      <c r="A5" t="inlineStr">
        <is>
          <t>2025-08-04</t>
        </is>
      </c>
      <c r="B5" t="n">
        <v>115.38</v>
      </c>
      <c r="C5" t="n">
        <v>376.47</v>
      </c>
      <c r="D5" t="n">
        <v>1317.54</v>
      </c>
      <c r="E5" t="n">
        <v>34391.95</v>
      </c>
      <c r="F5" t="n">
        <v>24363.3</v>
      </c>
      <c r="G5" s="30">
        <f>B5/B4-1</f>
        <v/>
      </c>
      <c r="H5" s="30">
        <f>C5/C4-1</f>
        <v/>
      </c>
      <c r="I5" s="30">
        <f>D5/D4-1</f>
        <v/>
      </c>
      <c r="J5" s="30">
        <f>E5/E4-1</f>
        <v/>
      </c>
      <c r="K5" s="30">
        <f>F5/F4-1</f>
        <v/>
      </c>
      <c r="L5" s="20">
        <f>B5/B$2*100</f>
        <v/>
      </c>
      <c r="M5" s="20">
        <f>C5/C$2*100</f>
        <v/>
      </c>
      <c r="N5" s="20">
        <f>D5/D$2*100</f>
        <v/>
      </c>
      <c r="O5" s="20">
        <f>E5/E$2*100</f>
        <v/>
      </c>
      <c r="P5" s="20">
        <f>F5/F$2*100</f>
        <v/>
      </c>
    </row>
    <row r="6">
      <c r="A6" t="inlineStr">
        <is>
          <t>2025-08-11</t>
        </is>
      </c>
      <c r="B6" t="n">
        <v>116.81</v>
      </c>
      <c r="C6" t="n">
        <v>382.93</v>
      </c>
      <c r="D6" t="n">
        <v>1311.42</v>
      </c>
      <c r="E6" t="n">
        <v>34469.05</v>
      </c>
      <c r="F6" t="n">
        <v>24631.3</v>
      </c>
      <c r="G6" s="30">
        <f>B6/B5-1</f>
        <v/>
      </c>
      <c r="H6" s="30">
        <f>C6/C5-1</f>
        <v/>
      </c>
      <c r="I6" s="30">
        <f>D6/D5-1</f>
        <v/>
      </c>
      <c r="J6" s="30">
        <f>E6/E5-1</f>
        <v/>
      </c>
      <c r="K6" s="30">
        <f>F6/F5-1</f>
        <v/>
      </c>
      <c r="L6" s="20">
        <f>B6/B$2*100</f>
        <v/>
      </c>
      <c r="M6" s="20">
        <f>C6/C$2*100</f>
        <v/>
      </c>
      <c r="N6" s="20">
        <f>D6/D$2*100</f>
        <v/>
      </c>
      <c r="O6" s="20">
        <f>E6/E$2*100</f>
        <v/>
      </c>
      <c r="P6" s="20">
        <f>F6/F$2*100</f>
        <v/>
      </c>
    </row>
    <row r="7">
      <c r="A7" t="inlineStr">
        <is>
          <t>2025-08-18</t>
        </is>
      </c>
      <c r="B7" t="n">
        <v>118.86</v>
      </c>
      <c r="C7" t="n">
        <v>383.23</v>
      </c>
      <c r="D7" t="n">
        <v>1264.47</v>
      </c>
      <c r="E7" t="n">
        <v>34507.6</v>
      </c>
      <c r="F7" t="n">
        <v>24870.1</v>
      </c>
      <c r="G7" s="30">
        <f>B7/B6-1</f>
        <v/>
      </c>
      <c r="H7" s="30">
        <f>C7/C6-1</f>
        <v/>
      </c>
      <c r="I7" s="30">
        <f>D7/D6-1</f>
        <v/>
      </c>
      <c r="J7" s="30">
        <f>E7/E6-1</f>
        <v/>
      </c>
      <c r="K7" s="30">
        <f>F7/F6-1</f>
        <v/>
      </c>
      <c r="L7" s="20">
        <f>B7/B$2*100</f>
        <v/>
      </c>
      <c r="M7" s="20">
        <f>C7/C$2*100</f>
        <v/>
      </c>
      <c r="N7" s="20">
        <f>D7/D$2*100</f>
        <v/>
      </c>
      <c r="O7" s="20">
        <f>E7/E$2*100</f>
        <v/>
      </c>
      <c r="P7" s="20">
        <f>F7/F$2*100</f>
        <v/>
      </c>
    </row>
    <row r="8">
      <c r="A8" t="inlineStr">
        <is>
          <t>2025-08-25</t>
        </is>
      </c>
      <c r="B8" t="n">
        <v>120.13</v>
      </c>
      <c r="C8" t="n">
        <v>371.85</v>
      </c>
      <c r="D8" t="n">
        <v>1210.52</v>
      </c>
      <c r="E8" t="n">
        <v>33638.65</v>
      </c>
      <c r="F8" t="n">
        <v>24426.85</v>
      </c>
      <c r="G8" s="30">
        <f>B8/B7-1</f>
        <v/>
      </c>
      <c r="H8" s="30">
        <f>C8/C7-1</f>
        <v/>
      </c>
      <c r="I8" s="30">
        <f>D8/D7-1</f>
        <v/>
      </c>
      <c r="J8" s="30">
        <f>E8/E7-1</f>
        <v/>
      </c>
      <c r="K8" s="30">
        <f>F8/F7-1</f>
        <v/>
      </c>
      <c r="L8" s="20">
        <f>B8/B$2*100</f>
        <v/>
      </c>
      <c r="M8" s="20">
        <f>C8/C$2*100</f>
        <v/>
      </c>
      <c r="N8" s="20">
        <f>D8/D$2*100</f>
        <v/>
      </c>
      <c r="O8" s="20">
        <f>E8/E$2*100</f>
        <v/>
      </c>
      <c r="P8" s="20">
        <f>F8/F$2*100</f>
        <v/>
      </c>
    </row>
    <row r="9">
      <c r="A9" t="inlineStr">
        <is>
          <t>2025-09-01</t>
        </is>
      </c>
      <c r="B9" t="n">
        <v>121.94</v>
      </c>
      <c r="C9" t="n">
        <v>383.42</v>
      </c>
      <c r="D9" t="n">
        <v>1245.63</v>
      </c>
      <c r="E9" t="n">
        <v>34297.9</v>
      </c>
      <c r="F9" t="n">
        <v>24741</v>
      </c>
      <c r="G9" s="30">
        <f>B9/B8-1</f>
        <v/>
      </c>
      <c r="H9" s="30">
        <f>C9/C8-1</f>
        <v/>
      </c>
      <c r="I9" s="30">
        <f>D9/D8-1</f>
        <v/>
      </c>
      <c r="J9" s="30">
        <f>E9/E8-1</f>
        <v/>
      </c>
      <c r="K9" s="30">
        <f>F9/F8-1</f>
        <v/>
      </c>
      <c r="L9" s="20">
        <f>B9/B$2*100</f>
        <v/>
      </c>
      <c r="M9" s="20">
        <f>C9/C$2*100</f>
        <v/>
      </c>
      <c r="N9" s="20">
        <f>D9/D$2*100</f>
        <v/>
      </c>
      <c r="O9" s="20">
        <f>E9/E$2*100</f>
        <v/>
      </c>
      <c r="P9" s="20">
        <f>F9/F$2*100</f>
        <v/>
      </c>
    </row>
    <row r="10">
      <c r="A10" t="inlineStr">
        <is>
          <t>2025-09-08</t>
        </is>
      </c>
      <c r="B10" t="n">
        <v>129.71</v>
      </c>
      <c r="C10" t="n">
        <v>383.87</v>
      </c>
      <c r="D10" t="n">
        <v>1250.47</v>
      </c>
      <c r="E10" t="n">
        <v>34940.3</v>
      </c>
      <c r="F10" t="n">
        <v>25114</v>
      </c>
      <c r="G10" s="30">
        <f>B10/B9-1</f>
        <v/>
      </c>
      <c r="H10" s="30">
        <f>C10/C9-1</f>
        <v/>
      </c>
      <c r="I10" s="30">
        <f>D10/D9-1</f>
        <v/>
      </c>
      <c r="J10" s="30">
        <f>E10/E9-1</f>
        <v/>
      </c>
      <c r="K10" s="30">
        <f>F10/F9-1</f>
        <v/>
      </c>
      <c r="L10" s="20">
        <f>B10/B$2*100</f>
        <v/>
      </c>
      <c r="M10" s="20">
        <f>C10/C$2*100</f>
        <v/>
      </c>
      <c r="N10" s="20">
        <f>D10/D$2*100</f>
        <v/>
      </c>
      <c r="O10" s="20">
        <f>E10/E$2*100</f>
        <v/>
      </c>
      <c r="P10" s="20">
        <f>F10/F$2*100</f>
        <v/>
      </c>
    </row>
    <row r="11">
      <c r="A11" t="inlineStr">
        <is>
          <t>2025-09-15</t>
        </is>
      </c>
      <c r="B11" t="n">
        <v>141.88</v>
      </c>
      <c r="C11" t="n">
        <v>393.86</v>
      </c>
      <c r="D11" t="n">
        <v>1247.21</v>
      </c>
      <c r="E11" t="n">
        <v>35745.75</v>
      </c>
      <c r="F11" t="n">
        <v>25327.05</v>
      </c>
      <c r="G11" s="30">
        <f>B11/B10-1</f>
        <v/>
      </c>
      <c r="H11" s="30">
        <f>C11/C10-1</f>
        <v/>
      </c>
      <c r="I11" s="30">
        <f>D11/D10-1</f>
        <v/>
      </c>
      <c r="J11" s="30">
        <f>E11/E10-1</f>
        <v/>
      </c>
      <c r="K11" s="30">
        <f>F11/F10-1</f>
        <v/>
      </c>
      <c r="L11" s="20">
        <f>B11/B$2*100</f>
        <v/>
      </c>
      <c r="M11" s="20">
        <f>C11/C$2*100</f>
        <v/>
      </c>
      <c r="N11" s="20">
        <f>D11/D$2*100</f>
        <v/>
      </c>
      <c r="O11" s="20">
        <f>E11/E$2*100</f>
        <v/>
      </c>
      <c r="P11" s="20">
        <f>F11/F$2*100</f>
        <v/>
      </c>
    </row>
    <row r="12">
      <c r="A12" t="inlineStr">
        <is>
          <t>2025-09-22</t>
        </is>
      </c>
      <c r="B12" t="n">
        <v>146.25</v>
      </c>
      <c r="C12" t="n">
        <v>381.44</v>
      </c>
      <c r="D12" t="n">
        <v>1216.44</v>
      </c>
      <c r="E12" t="n">
        <v>34830</v>
      </c>
      <c r="F12" t="n">
        <v>24654.7</v>
      </c>
      <c r="G12" s="30">
        <f>B12/B11-1</f>
        <v/>
      </c>
      <c r="H12" s="30">
        <f>C12/C11-1</f>
        <v/>
      </c>
      <c r="I12" s="30">
        <f>D12/D11-1</f>
        <v/>
      </c>
      <c r="J12" s="30">
        <f>E12/E11-1</f>
        <v/>
      </c>
      <c r="K12" s="30">
        <f>F12/F11-1</f>
        <v/>
      </c>
      <c r="L12" s="20">
        <f>B12/B$2*100</f>
        <v/>
      </c>
      <c r="M12" s="20">
        <f>C12/C$2*100</f>
        <v/>
      </c>
      <c r="N12" s="20">
        <f>D12/D$2*100</f>
        <v/>
      </c>
      <c r="O12" s="20">
        <f>E12/E$2*100</f>
        <v/>
      </c>
      <c r="P12" s="20">
        <f>F12/F$2*100</f>
        <v/>
      </c>
    </row>
    <row r="13">
      <c r="A13" t="inlineStr">
        <is>
          <t>2025-09-29</t>
        </is>
      </c>
      <c r="B13" t="n">
        <v>147.38</v>
      </c>
      <c r="C13" t="n">
        <v>392.47</v>
      </c>
      <c r="D13" t="n">
        <v>1204.41</v>
      </c>
      <c r="E13" t="n">
        <v>35375.9</v>
      </c>
      <c r="F13" t="n">
        <v>24894.25</v>
      </c>
      <c r="G13" s="30">
        <f>B13/B12-1</f>
        <v/>
      </c>
      <c r="H13" s="30">
        <f>C13/C12-1</f>
        <v/>
      </c>
      <c r="I13" s="30">
        <f>D13/D12-1</f>
        <v/>
      </c>
      <c r="J13" s="30">
        <f>E13/E12-1</f>
        <v/>
      </c>
      <c r="K13" s="30">
        <f>F13/F12-1</f>
        <v/>
      </c>
      <c r="L13" s="20">
        <f>B13/B$2*100</f>
        <v/>
      </c>
      <c r="M13" s="20">
        <f>C13/C$2*100</f>
        <v/>
      </c>
      <c r="N13" s="20">
        <f>D13/D$2*100</f>
        <v/>
      </c>
      <c r="O13" s="20">
        <f>E13/E$2*100</f>
        <v/>
      </c>
      <c r="P13" s="20">
        <f>F13/F$2*100</f>
        <v/>
      </c>
    </row>
    <row r="14">
      <c r="A14" t="inlineStr">
        <is>
          <t>2025-10-06</t>
        </is>
      </c>
      <c r="B14" t="n">
        <v>149.7</v>
      </c>
      <c r="C14" t="n">
        <v>387.7</v>
      </c>
      <c r="D14" t="n">
        <v>1222.36</v>
      </c>
      <c r="E14" t="n">
        <v>35393.95</v>
      </c>
      <c r="F14" t="n">
        <v>25285.35</v>
      </c>
      <c r="G14" s="30">
        <f>B14/B13-1</f>
        <v/>
      </c>
      <c r="H14" s="30">
        <f>C14/C13-1</f>
        <v/>
      </c>
      <c r="I14" s="30">
        <f>D14/D13-1</f>
        <v/>
      </c>
      <c r="J14" s="30">
        <f>E14/E13-1</f>
        <v/>
      </c>
      <c r="K14" s="30">
        <f>F14/F13-1</f>
        <v/>
      </c>
      <c r="L14" s="20">
        <f>B14/B$2*100</f>
        <v/>
      </c>
      <c r="M14" s="20">
        <f>C14/C$2*100</f>
        <v/>
      </c>
      <c r="N14" s="20">
        <f>D14/D$2*100</f>
        <v/>
      </c>
      <c r="O14" s="20">
        <f>E14/E$2*100</f>
        <v/>
      </c>
      <c r="P14" s="20">
        <f>F14/F$2*100</f>
        <v/>
      </c>
    </row>
    <row r="15">
      <c r="A15" t="inlineStr">
        <is>
          <t>2025-10-13</t>
        </is>
      </c>
      <c r="B15" t="n">
        <v>165.98</v>
      </c>
      <c r="C15" t="n">
        <v>395.35</v>
      </c>
      <c r="D15" t="n">
        <v>1293.87</v>
      </c>
      <c r="E15" t="n">
        <v>35395.7</v>
      </c>
      <c r="F15" t="n">
        <v>25709.85</v>
      </c>
      <c r="G15" s="30">
        <f>B15/B14-1</f>
        <v/>
      </c>
      <c r="H15" s="30">
        <f>C15/C14-1</f>
        <v/>
      </c>
      <c r="I15" s="30">
        <f>D15/D14-1</f>
        <v/>
      </c>
      <c r="J15" s="30">
        <f>E15/E14-1</f>
        <v/>
      </c>
      <c r="K15" s="30">
        <f>F15/F14-1</f>
        <v/>
      </c>
      <c r="L15" s="20">
        <f>B15/B$2*100</f>
        <v/>
      </c>
      <c r="M15" s="20">
        <f>C15/C$2*100</f>
        <v/>
      </c>
      <c r="N15" s="20">
        <f>D15/D$2*100</f>
        <v/>
      </c>
      <c r="O15" s="20">
        <f>E15/E$2*100</f>
        <v/>
      </c>
      <c r="P15" s="20">
        <f>F15/F$2*100</f>
        <v/>
      </c>
    </row>
    <row r="16">
      <c r="A16" t="inlineStr">
        <is>
          <t>2025-10-20</t>
        </is>
      </c>
      <c r="B16" t="n">
        <v>167.72</v>
      </c>
      <c r="C16" t="n">
        <v>394.41</v>
      </c>
      <c r="D16" t="n">
        <v>1307.67</v>
      </c>
      <c r="E16" t="n">
        <v>35626.9</v>
      </c>
      <c r="F16" t="n">
        <v>25795.15</v>
      </c>
      <c r="G16" s="30">
        <f>B16/B15-1</f>
        <v/>
      </c>
      <c r="H16" s="30">
        <f>C16/C15-1</f>
        <v/>
      </c>
      <c r="I16" s="30">
        <f>D16/D15-1</f>
        <v/>
      </c>
      <c r="J16" s="30">
        <f>E16/E15-1</f>
        <v/>
      </c>
      <c r="K16" s="30">
        <f>F16/F15-1</f>
        <v/>
      </c>
      <c r="L16" s="20">
        <f>B16/B$2*100</f>
        <v/>
      </c>
      <c r="M16" s="20">
        <f>C16/C$2*100</f>
        <v/>
      </c>
      <c r="N16" s="20">
        <f>D16/D$2*100</f>
        <v/>
      </c>
      <c r="O16" s="20">
        <f>E16/E$2*100</f>
        <v/>
      </c>
      <c r="P16" s="20">
        <f>F16/F$2*100</f>
        <v/>
      </c>
    </row>
    <row r="17">
      <c r="A17" t="inlineStr">
        <is>
          <t>2025-10-27</t>
        </is>
      </c>
      <c r="B17" t="n">
        <v>157.85</v>
      </c>
      <c r="C17" t="n">
        <v>402.41</v>
      </c>
      <c r="D17" t="n">
        <v>1298.5</v>
      </c>
      <c r="E17" t="n">
        <v>36275.95</v>
      </c>
      <c r="F17" t="n">
        <v>25722.1</v>
      </c>
      <c r="G17" s="30">
        <f>B17/B16-1</f>
        <v/>
      </c>
      <c r="H17" s="30">
        <f>C17/C16-1</f>
        <v/>
      </c>
      <c r="I17" s="30">
        <f>D17/D16-1</f>
        <v/>
      </c>
      <c r="J17" s="30">
        <f>E17/E16-1</f>
        <v/>
      </c>
      <c r="K17" s="30">
        <f>F17/F16-1</f>
        <v/>
      </c>
      <c r="L17" s="20">
        <f>B17/B$2*100</f>
        <v/>
      </c>
      <c r="M17" s="20">
        <f>C17/C$2*100</f>
        <v/>
      </c>
      <c r="N17" s="20">
        <f>D17/D$2*100</f>
        <v/>
      </c>
      <c r="O17" s="20">
        <f>E17/E$2*100</f>
        <v/>
      </c>
      <c r="P17" s="20">
        <f>F17/F$2*100</f>
        <v/>
      </c>
    </row>
    <row r="18">
      <c r="A18" t="inlineStr">
        <is>
          <t>2025-11-03</t>
        </is>
      </c>
      <c r="B18" t="n">
        <v>151.48</v>
      </c>
      <c r="C18" t="n">
        <v>390.78</v>
      </c>
      <c r="D18" t="n">
        <v>1263.68</v>
      </c>
      <c r="E18" t="n">
        <v>35790.3</v>
      </c>
      <c r="F18" t="n">
        <v>25492.3</v>
      </c>
      <c r="G18" s="30">
        <f>B18/B17-1</f>
        <v/>
      </c>
      <c r="H18" s="30">
        <f>C18/C17-1</f>
        <v/>
      </c>
      <c r="I18" s="30">
        <f>D18/D17-1</f>
        <v/>
      </c>
      <c r="J18" s="30">
        <f>E18/E17-1</f>
        <v/>
      </c>
      <c r="K18" s="30">
        <f>F18/F17-1</f>
        <v/>
      </c>
      <c r="L18" s="20">
        <f>B18/B$2*100</f>
        <v/>
      </c>
      <c r="M18" s="20">
        <f>C18/C$2*100</f>
        <v/>
      </c>
      <c r="N18" s="20">
        <f>D18/D$2*100</f>
        <v/>
      </c>
      <c r="O18" s="20">
        <f>E18/E$2*100</f>
        <v/>
      </c>
      <c r="P18" s="20">
        <f>F18/F$2*100</f>
        <v/>
      </c>
    </row>
    <row r="19">
      <c r="A19" t="inlineStr">
        <is>
          <t>2025-11-10</t>
        </is>
      </c>
      <c r="B19" t="n">
        <v>153.91</v>
      </c>
      <c r="C19" t="n">
        <v>386.01</v>
      </c>
      <c r="D19" t="n">
        <v>1283.21</v>
      </c>
      <c r="E19" t="n">
        <v>36261.1</v>
      </c>
      <c r="F19" t="n">
        <v>25910.05</v>
      </c>
      <c r="G19" s="30">
        <f>B19/B18-1</f>
        <v/>
      </c>
      <c r="H19" s="30">
        <f>C19/C18-1</f>
        <v/>
      </c>
      <c r="I19" s="30">
        <f>D19/D18-1</f>
        <v/>
      </c>
      <c r="J19" s="30">
        <f>E19/E18-1</f>
        <v/>
      </c>
      <c r="K19" s="30">
        <f>F19/F18-1</f>
        <v/>
      </c>
      <c r="L19" s="20">
        <f>B19/B$2*100</f>
        <v/>
      </c>
      <c r="M19" s="20">
        <f>C19/C$2*100</f>
        <v/>
      </c>
      <c r="N19" s="20">
        <f>D19/D$2*100</f>
        <v/>
      </c>
      <c r="O19" s="20">
        <f>E19/E$2*100</f>
        <v/>
      </c>
      <c r="P19" s="20">
        <f>F19/F$2*100</f>
        <v/>
      </c>
    </row>
    <row r="20">
      <c r="A20" t="inlineStr">
        <is>
          <t>2025-11-17</t>
        </is>
      </c>
      <c r="B20" t="n">
        <v>149.12</v>
      </c>
      <c r="C20" t="n">
        <v>384.62</v>
      </c>
      <c r="D20" t="n">
        <v>1273.74</v>
      </c>
      <c r="E20" t="n">
        <v>35852.4</v>
      </c>
      <c r="F20" t="n">
        <v>26068.15</v>
      </c>
      <c r="G20" s="30">
        <f>B20/B19-1</f>
        <v/>
      </c>
      <c r="H20" s="30">
        <f>C20/C19-1</f>
        <v/>
      </c>
      <c r="I20" s="30">
        <f>D20/D19-1</f>
        <v/>
      </c>
      <c r="J20" s="30">
        <f>E20/E19-1</f>
        <v/>
      </c>
      <c r="K20" s="30">
        <f>F20/F19-1</f>
        <v/>
      </c>
      <c r="L20" s="20">
        <f>B20/B$2*100</f>
        <v/>
      </c>
      <c r="M20" s="20">
        <f>C20/C$2*100</f>
        <v/>
      </c>
      <c r="N20" s="20">
        <f>D20/D$2*100</f>
        <v/>
      </c>
      <c r="O20" s="20">
        <f>E20/E$2*100</f>
        <v/>
      </c>
      <c r="P20" s="20">
        <f>F20/F$2*100</f>
        <v/>
      </c>
    </row>
    <row r="21">
      <c r="A21" t="inlineStr">
        <is>
          <t>2025-11-24</t>
        </is>
      </c>
      <c r="B21" t="n">
        <v>147.49</v>
      </c>
      <c r="C21" t="n">
        <v>387.7</v>
      </c>
      <c r="D21" t="n">
        <v>1296.53</v>
      </c>
      <c r="E21" t="n">
        <v>35548.3</v>
      </c>
      <c r="F21" t="n">
        <v>26202.95</v>
      </c>
      <c r="G21" s="30">
        <f>B21/B20-1</f>
        <v/>
      </c>
      <c r="H21" s="30">
        <f>C21/C20-1</f>
        <v/>
      </c>
      <c r="I21" s="30">
        <f>D21/D20-1</f>
        <v/>
      </c>
      <c r="J21" s="30">
        <f>E21/E20-1</f>
        <v/>
      </c>
      <c r="K21" s="30">
        <f>F21/F20-1</f>
        <v/>
      </c>
      <c r="L21" s="20">
        <f>B21/B$2*100</f>
        <v/>
      </c>
      <c r="M21" s="20">
        <f>C21/C$2*100</f>
        <v/>
      </c>
      <c r="N21" s="20">
        <f>D21/D$2*100</f>
        <v/>
      </c>
      <c r="O21" s="20">
        <f>E21/E$2*100</f>
        <v/>
      </c>
      <c r="P21" s="20">
        <f>F21/F$2*100</f>
        <v/>
      </c>
    </row>
    <row r="22">
      <c r="A22" t="inlineStr">
        <is>
          <t>2025-12-01</t>
        </is>
      </c>
      <c r="B22" t="n">
        <v>143.78</v>
      </c>
      <c r="C22" t="n">
        <v>382.13</v>
      </c>
      <c r="D22" t="n">
        <v>1272.26</v>
      </c>
      <c r="E22" t="n">
        <v>34971.8</v>
      </c>
      <c r="F22" t="n">
        <v>26186.45</v>
      </c>
      <c r="G22" s="30">
        <f>B22/B21-1</f>
        <v/>
      </c>
      <c r="H22" s="30">
        <f>C22/C21-1</f>
        <v/>
      </c>
      <c r="I22" s="30">
        <f>D22/D21-1</f>
        <v/>
      </c>
      <c r="J22" s="30">
        <f>E22/E21-1</f>
        <v/>
      </c>
      <c r="K22" s="30">
        <f>F22/F21-1</f>
        <v/>
      </c>
      <c r="L22" s="20">
        <f>B22/B$2*100</f>
        <v/>
      </c>
      <c r="M22" s="20">
        <f>C22/C$2*100</f>
        <v/>
      </c>
      <c r="N22" s="20">
        <f>D22/D$2*100</f>
        <v/>
      </c>
      <c r="O22" s="20">
        <f>E22/E$2*100</f>
        <v/>
      </c>
      <c r="P22" s="20">
        <f>F22/F$2*100</f>
        <v/>
      </c>
    </row>
    <row r="23">
      <c r="A23" t="inlineStr">
        <is>
          <t>2025-12-08</t>
        </is>
      </c>
      <c r="B23" t="n">
        <v>144.49</v>
      </c>
      <c r="C23" t="n">
        <v>379.6</v>
      </c>
      <c r="D23" t="n">
        <v>1273.15</v>
      </c>
      <c r="E23" t="n">
        <v>35039.85</v>
      </c>
      <c r="F23" t="n">
        <v>26046.95</v>
      </c>
      <c r="G23" s="30">
        <f>B23/B22-1</f>
        <v/>
      </c>
      <c r="H23" s="30">
        <f>C23/C22-1</f>
        <v/>
      </c>
      <c r="I23" s="30">
        <f>D23/D22-1</f>
        <v/>
      </c>
      <c r="J23" s="30">
        <f>E23/E22-1</f>
        <v/>
      </c>
      <c r="K23" s="30">
        <f>F23/F22-1</f>
        <v/>
      </c>
      <c r="L23" s="20">
        <f>B23/B$2*100</f>
        <v/>
      </c>
      <c r="M23" s="20">
        <f>C23/C$2*100</f>
        <v/>
      </c>
      <c r="N23" s="20">
        <f>D23/D$2*100</f>
        <v/>
      </c>
      <c r="O23" s="20">
        <f>E23/E$2*100</f>
        <v/>
      </c>
      <c r="P23" s="20">
        <f>F23/F$2*100</f>
        <v/>
      </c>
    </row>
    <row r="24">
      <c r="A24" t="inlineStr">
        <is>
          <t>2025-12-15</t>
        </is>
      </c>
      <c r="B24" t="n">
        <v>141.76</v>
      </c>
      <c r="C24" t="n">
        <v>378.21</v>
      </c>
      <c r="D24" t="n">
        <v>1261.61</v>
      </c>
      <c r="E24" t="n">
        <v>34796.4</v>
      </c>
      <c r="F24" t="n">
        <v>25966.4</v>
      </c>
      <c r="G24" s="30">
        <f>B24/B23-1</f>
        <v/>
      </c>
      <c r="H24" s="30">
        <f>C24/C23-1</f>
        <v/>
      </c>
      <c r="I24" s="30">
        <f>D24/D23-1</f>
        <v/>
      </c>
      <c r="J24" s="30">
        <f>E24/E23-1</f>
        <v/>
      </c>
      <c r="K24" s="30">
        <f>F24/F23-1</f>
        <v/>
      </c>
      <c r="L24" s="20">
        <f>B24/B$2*100</f>
        <v/>
      </c>
      <c r="M24" s="20">
        <f>C24/C$2*100</f>
        <v/>
      </c>
      <c r="N24" s="20">
        <f>D24/D$2*100</f>
        <v/>
      </c>
      <c r="O24" s="20">
        <f>E24/E$2*100</f>
        <v/>
      </c>
      <c r="P24" s="20">
        <f>F24/F$2*100</f>
        <v/>
      </c>
    </row>
    <row r="25">
      <c r="A25" t="inlineStr">
        <is>
          <t>2025-12-22</t>
        </is>
      </c>
      <c r="B25" t="n">
        <v>142.19</v>
      </c>
      <c r="C25" t="n">
        <v>377.21</v>
      </c>
      <c r="D25" t="n">
        <v>1281.44</v>
      </c>
      <c r="E25" t="n">
        <v>35058.8</v>
      </c>
      <c r="F25" t="n">
        <v>26042.3</v>
      </c>
      <c r="G25" s="30">
        <f>B25/B24-1</f>
        <v/>
      </c>
      <c r="H25" s="30">
        <f>C25/C24-1</f>
        <v/>
      </c>
      <c r="I25" s="30">
        <f>D25/D24-1</f>
        <v/>
      </c>
      <c r="J25" s="30">
        <f>E25/E24-1</f>
        <v/>
      </c>
      <c r="K25" s="30">
        <f>F25/F24-1</f>
        <v/>
      </c>
      <c r="L25" s="20">
        <f>B25/B$2*100</f>
        <v/>
      </c>
      <c r="M25" s="20">
        <f>C25/C$2*100</f>
        <v/>
      </c>
      <c r="N25" s="20">
        <f>D25/D$2*100</f>
        <v/>
      </c>
      <c r="O25" s="20">
        <f>E25/E$2*100</f>
        <v/>
      </c>
      <c r="P25" s="20">
        <f>F25/F$2*100</f>
        <v/>
      </c>
    </row>
    <row r="26">
      <c r="A26" t="inlineStr">
        <is>
          <t>2025-12-29</t>
        </is>
      </c>
      <c r="B26" t="n">
        <v>148.17</v>
      </c>
      <c r="C26" t="n">
        <v>390.68</v>
      </c>
      <c r="D26" t="n">
        <v>1380.27</v>
      </c>
      <c r="E26" t="n">
        <v>36275.65</v>
      </c>
      <c r="F26" t="n">
        <v>26328.55</v>
      </c>
      <c r="G26" s="30">
        <f>B26/B25-1</f>
        <v/>
      </c>
      <c r="H26" s="30">
        <f>C26/C25-1</f>
        <v/>
      </c>
      <c r="I26" s="30">
        <f>D26/D25-1</f>
        <v/>
      </c>
      <c r="J26" s="30">
        <f>E26/E25-1</f>
        <v/>
      </c>
      <c r="K26" s="30">
        <f>F26/F25-1</f>
        <v/>
      </c>
      <c r="L26" s="20">
        <f>B26/B$2*100</f>
        <v/>
      </c>
      <c r="M26" s="20">
        <f>C26/C$2*100</f>
        <v/>
      </c>
      <c r="N26" s="20">
        <f>D26/D$2*100</f>
        <v/>
      </c>
      <c r="O26" s="20">
        <f>E26/E$2*100</f>
        <v/>
      </c>
      <c r="P26" s="20">
        <f>F26/F$2*100</f>
        <v/>
      </c>
    </row>
    <row r="27">
      <c r="A27" t="inlineStr">
        <is>
          <t>2026-01-05</t>
        </is>
      </c>
      <c r="B27" t="n">
        <v>141.68</v>
      </c>
      <c r="C27" t="n">
        <v>362.55</v>
      </c>
      <c r="D27" t="n">
        <v>1303.24</v>
      </c>
      <c r="E27" t="n">
        <v>34409.3</v>
      </c>
      <c r="F27" t="n">
        <v>25683.3</v>
      </c>
      <c r="G27" s="30">
        <f>B27/B26-1</f>
        <v/>
      </c>
      <c r="H27" s="30">
        <f>C27/C26-1</f>
        <v/>
      </c>
      <c r="I27" s="30">
        <f>D27/D26-1</f>
        <v/>
      </c>
      <c r="J27" s="30">
        <f>E27/E26-1</f>
        <v/>
      </c>
      <c r="K27" s="30">
        <f>F27/F26-1</f>
        <v/>
      </c>
      <c r="L27" s="20">
        <f>B27/B$2*100</f>
        <v/>
      </c>
      <c r="M27" s="20">
        <f>C27/C$2*100</f>
        <v/>
      </c>
      <c r="N27" s="20">
        <f>D27/D$2*100</f>
        <v/>
      </c>
      <c r="O27" s="20">
        <f>E27/E$2*100</f>
        <v/>
      </c>
      <c r="P27" s="20">
        <f>F27/F$2*100</f>
        <v/>
      </c>
    </row>
    <row r="28">
      <c r="A28" t="inlineStr">
        <is>
          <t>2026-01-12</t>
        </is>
      </c>
      <c r="B28" t="n">
        <v>142.63</v>
      </c>
      <c r="C28" t="n">
        <v>363.85</v>
      </c>
      <c r="D28" t="n">
        <v>1339.14</v>
      </c>
      <c r="E28" t="n">
        <v>34346.35</v>
      </c>
      <c r="F28" t="n">
        <v>25694.35</v>
      </c>
      <c r="G28" s="30">
        <f>B28/B27-1</f>
        <v/>
      </c>
      <c r="H28" s="30">
        <f>C28/C27-1</f>
        <v/>
      </c>
      <c r="I28" s="30">
        <f>D28/D27-1</f>
        <v/>
      </c>
      <c r="J28" s="30">
        <f>E28/E27-1</f>
        <v/>
      </c>
      <c r="K28" s="30">
        <f>F28/F27-1</f>
        <v/>
      </c>
      <c r="L28" s="20">
        <f>B28/B$2*100</f>
        <v/>
      </c>
      <c r="M28" s="20">
        <f>C28/C$2*100</f>
        <v/>
      </c>
      <c r="N28" s="20">
        <f>D28/D$2*100</f>
        <v/>
      </c>
      <c r="O28" s="20">
        <f>E28/E$2*100</f>
        <v/>
      </c>
      <c r="P28" s="20">
        <f>F28/F$2*100</f>
        <v/>
      </c>
    </row>
    <row r="29">
      <c r="A29" t="inlineStr">
        <is>
          <t>2026-01-19</t>
        </is>
      </c>
      <c r="B29" t="n">
        <v>132.96</v>
      </c>
      <c r="C29" t="n">
        <v>343.12</v>
      </c>
      <c r="D29" t="n">
        <v>1253.33</v>
      </c>
      <c r="E29" t="n">
        <v>33098.3</v>
      </c>
      <c r="F29" t="n">
        <v>25048.65</v>
      </c>
      <c r="G29" s="30">
        <f>B29/B28-1</f>
        <v/>
      </c>
      <c r="H29" s="30">
        <f>C29/C28-1</f>
        <v/>
      </c>
      <c r="I29" s="30">
        <f>D29/D28-1</f>
        <v/>
      </c>
      <c r="J29" s="30">
        <f>E29/E28-1</f>
        <v/>
      </c>
      <c r="K29" s="30">
        <f>F29/F28-1</f>
        <v/>
      </c>
      <c r="L29" s="20">
        <f>B29/B$2*100</f>
        <v/>
      </c>
      <c r="M29" s="20">
        <f>C29/C$2*100</f>
        <v/>
      </c>
      <c r="N29" s="20">
        <f>D29/D$2*100</f>
        <v/>
      </c>
      <c r="O29" s="20">
        <f>E29/E$2*100</f>
        <v/>
      </c>
      <c r="P29" s="20">
        <f>F29/F$2*100</f>
        <v/>
      </c>
    </row>
    <row r="30">
      <c r="A30" t="inlineStr">
        <is>
          <t>2026-01-26</t>
        </is>
      </c>
      <c r="B30" t="n">
        <v>132.85</v>
      </c>
      <c r="C30" t="n">
        <v>352.17</v>
      </c>
      <c r="D30" t="n">
        <v>1279.76</v>
      </c>
      <c r="E30" t="n">
        <v>35138.05</v>
      </c>
      <c r="F30" t="n">
        <v>24825.45</v>
      </c>
      <c r="G30" s="30">
        <f>B30/B29-1</f>
        <v/>
      </c>
      <c r="H30" s="30">
        <f>C30/C29-1</f>
        <v/>
      </c>
      <c r="I30" s="30">
        <f>D30/D29-1</f>
        <v/>
      </c>
      <c r="J30" s="30">
        <f>E30/E29-1</f>
        <v/>
      </c>
      <c r="K30" s="30">
        <f>F30/F29-1</f>
        <v/>
      </c>
      <c r="L30" s="20">
        <f>B30/B$2*100</f>
        <v/>
      </c>
      <c r="M30" s="20">
        <f>C30/C$2*100</f>
        <v/>
      </c>
      <c r="N30" s="20">
        <f>D30/D$2*100</f>
        <v/>
      </c>
      <c r="O30" s="20">
        <f>E30/E$2*100</f>
        <v/>
      </c>
      <c r="P30" s="20">
        <f>F30/F$2*100</f>
        <v/>
      </c>
    </row>
    <row r="31">
      <c r="A31" t="inlineStr">
        <is>
          <t>2026-02-02</t>
        </is>
      </c>
      <c r="B31" t="n">
        <v>152.74</v>
      </c>
      <c r="C31" t="n">
        <v>363.7</v>
      </c>
      <c r="D31" t="n">
        <v>1409.46</v>
      </c>
      <c r="E31" t="n">
        <v>36451.7</v>
      </c>
      <c r="F31" t="n">
        <v>25693.7</v>
      </c>
      <c r="G31" s="30">
        <f>B31/B30-1</f>
        <v/>
      </c>
      <c r="H31" s="30">
        <f>C31/C30-1</f>
        <v/>
      </c>
      <c r="I31" s="30">
        <f>D31/D30-1</f>
        <v/>
      </c>
      <c r="J31" s="30">
        <f>E31/E30-1</f>
        <v/>
      </c>
      <c r="K31" s="30">
        <f>F31/F30-1</f>
        <v/>
      </c>
      <c r="L31" s="20">
        <f>B31/B$2*100</f>
        <v/>
      </c>
      <c r="M31" s="20">
        <f>C31/C$2*100</f>
        <v/>
      </c>
      <c r="N31" s="20">
        <f>D31/D$2*100</f>
        <v/>
      </c>
      <c r="O31" s="20">
        <f>E31/E$2*100</f>
        <v/>
      </c>
      <c r="P31" s="20">
        <f>F31/F$2*100</f>
        <v/>
      </c>
    </row>
    <row r="32">
      <c r="A32" t="inlineStr">
        <is>
          <t>2026-02-09</t>
        </is>
      </c>
      <c r="B32" t="n">
        <v>139.9</v>
      </c>
      <c r="C32" t="n">
        <v>371.8</v>
      </c>
      <c r="D32" t="n">
        <v>1442.6</v>
      </c>
      <c r="E32" t="n">
        <v>35709.9</v>
      </c>
      <c r="F32" t="n">
        <v>25471.1</v>
      </c>
      <c r="G32" s="30">
        <f>B32/B31-1</f>
        <v/>
      </c>
      <c r="H32" s="30">
        <f>C32/C31-1</f>
        <v/>
      </c>
      <c r="I32" s="30">
        <f>D32/D31-1</f>
        <v/>
      </c>
      <c r="J32" s="30">
        <f>E32/E31-1</f>
        <v/>
      </c>
      <c r="K32" s="30">
        <f>F32/F31-1</f>
        <v/>
      </c>
      <c r="L32" s="20">
        <f>B32/B$2*100</f>
        <v/>
      </c>
      <c r="M32" s="20">
        <f>C32/C$2*100</f>
        <v/>
      </c>
      <c r="N32" s="20">
        <f>D32/D$2*100</f>
        <v/>
      </c>
      <c r="O32" s="20">
        <f>E32/E$2*100</f>
        <v/>
      </c>
      <c r="P32" s="20">
        <f>F32/F$2*100</f>
        <v/>
      </c>
    </row>
    <row r="33">
      <c r="A33" t="inlineStr">
        <is>
          <t>2026-02-16</t>
        </is>
      </c>
      <c r="B33" t="n">
        <v>142.7</v>
      </c>
      <c r="C33" t="n">
        <v>375.67</v>
      </c>
      <c r="D33" t="n">
        <v>1523.32</v>
      </c>
      <c r="E33" t="n">
        <v>36581.15</v>
      </c>
      <c r="F33" t="n">
        <v>25571.25</v>
      </c>
      <c r="G33" s="30">
        <f>B33/B32-1</f>
        <v/>
      </c>
      <c r="H33" s="30">
        <f>C33/C32-1</f>
        <v/>
      </c>
      <c r="I33" s="30">
        <f>D33/D32-1</f>
        <v/>
      </c>
      <c r="J33" s="30">
        <f>E33/E32-1</f>
        <v/>
      </c>
      <c r="K33" s="30">
        <f>F33/F32-1</f>
        <v/>
      </c>
      <c r="L33" s="20">
        <f>B33/B$2*100</f>
        <v/>
      </c>
      <c r="M33" s="20">
        <f>C33/C$2*100</f>
        <v/>
      </c>
      <c r="N33" s="20">
        <f>D33/D$2*100</f>
        <v/>
      </c>
      <c r="O33" s="20">
        <f>E33/E$2*100</f>
        <v/>
      </c>
      <c r="P33" s="20">
        <f>F33/F$2*100</f>
        <v/>
      </c>
    </row>
    <row r="34">
      <c r="A34" t="inlineStr">
        <is>
          <t>2026-02-23</t>
        </is>
      </c>
      <c r="B34" t="n">
        <v>140.11</v>
      </c>
      <c r="C34" t="n">
        <v>375.22</v>
      </c>
      <c r="D34" t="n">
        <v>1560.99</v>
      </c>
      <c r="E34" t="n">
        <v>37045.2</v>
      </c>
      <c r="F34" t="n">
        <v>25178.65</v>
      </c>
      <c r="G34" s="30">
        <f>B34/B33-1</f>
        <v/>
      </c>
      <c r="H34" s="30">
        <f>C34/C33-1</f>
        <v/>
      </c>
      <c r="I34" s="30">
        <f>D34/D33-1</f>
        <v/>
      </c>
      <c r="J34" s="30">
        <f>E34/E33-1</f>
        <v/>
      </c>
      <c r="K34" s="30">
        <f>F34/F33-1</f>
        <v/>
      </c>
      <c r="L34" s="20">
        <f>B34/B$2*100</f>
        <v/>
      </c>
      <c r="M34" s="20">
        <f>C34/C$2*100</f>
        <v/>
      </c>
      <c r="N34" s="20">
        <f>D34/D$2*100</f>
        <v/>
      </c>
      <c r="O34" s="20">
        <f>E34/E$2*100</f>
        <v/>
      </c>
      <c r="P34" s="20">
        <f>F34/F$2*100</f>
        <v/>
      </c>
    </row>
    <row r="35">
      <c r="A35" t="inlineStr">
        <is>
          <t>2026-03-02</t>
        </is>
      </c>
      <c r="B35" t="n">
        <v>138.99</v>
      </c>
      <c r="C35" t="n">
        <v>373.19</v>
      </c>
      <c r="D35" t="n">
        <v>1476.19</v>
      </c>
      <c r="E35" t="n">
        <v>36319.6</v>
      </c>
      <c r="F35" t="n">
        <v>24450.45</v>
      </c>
      <c r="G35" s="30">
        <f>B35/B34-1</f>
        <v/>
      </c>
      <c r="H35" s="30">
        <f>C35/C34-1</f>
        <v/>
      </c>
      <c r="I35" s="30">
        <f>D35/D34-1</f>
        <v/>
      </c>
      <c r="J35" s="30">
        <f>E35/E34-1</f>
        <v/>
      </c>
      <c r="K35" s="30">
        <f>F35/F34-1</f>
        <v/>
      </c>
      <c r="L35" s="20">
        <f>B35/B$2*100</f>
        <v/>
      </c>
      <c r="M35" s="20">
        <f>C35/C$2*100</f>
        <v/>
      </c>
      <c r="N35" s="20">
        <f>D35/D$2*100</f>
        <v/>
      </c>
      <c r="O35" s="20">
        <f>E35/E$2*100</f>
        <v/>
      </c>
      <c r="P35" s="20">
        <f>F35/F$2*100</f>
        <v/>
      </c>
    </row>
    <row r="36">
      <c r="A36" t="inlineStr">
        <is>
          <t>2026-03-09</t>
        </is>
      </c>
      <c r="B36" t="n">
        <v>146.57</v>
      </c>
      <c r="C36" t="n">
        <v>392.52</v>
      </c>
      <c r="D36" t="n">
        <v>1456.26</v>
      </c>
      <c r="E36" t="n">
        <v>36071.85</v>
      </c>
      <c r="F36" t="n">
        <v>23151.1</v>
      </c>
      <c r="G36" s="30">
        <f>B36/B35-1</f>
        <v/>
      </c>
      <c r="H36" s="30">
        <f>C36/C35-1</f>
        <v/>
      </c>
      <c r="I36" s="30">
        <f>D36/D35-1</f>
        <v/>
      </c>
      <c r="J36" s="30">
        <f>E36/E35-1</f>
        <v/>
      </c>
      <c r="K36" s="30">
        <f>F36/F35-1</f>
        <v/>
      </c>
      <c r="L36" s="20">
        <f>B36/B$2*100</f>
        <v/>
      </c>
      <c r="M36" s="20">
        <f>C36/C$2*100</f>
        <v/>
      </c>
      <c r="N36" s="20">
        <f>D36/D$2*100</f>
        <v/>
      </c>
      <c r="O36" s="20">
        <f>E36/E$2*100</f>
        <v/>
      </c>
      <c r="P36" s="20">
        <f>F36/F$2*100</f>
        <v/>
      </c>
    </row>
    <row r="37">
      <c r="A37" t="inlineStr">
        <is>
          <t>2026-03-16</t>
        </is>
      </c>
      <c r="B37" t="n">
        <v>151.54</v>
      </c>
      <c r="C37" t="n">
        <v>399.92</v>
      </c>
      <c r="D37" t="n">
        <v>1445.69</v>
      </c>
      <c r="E37" t="n">
        <v>35908.3</v>
      </c>
      <c r="F37" t="n">
        <v>23114.5</v>
      </c>
      <c r="G37" s="30">
        <f>B37/B36-1</f>
        <v/>
      </c>
      <c r="H37" s="30">
        <f>C37/C36-1</f>
        <v/>
      </c>
      <c r="I37" s="30">
        <f>D37/D36-1</f>
        <v/>
      </c>
      <c r="J37" s="30">
        <f>E37/E36-1</f>
        <v/>
      </c>
      <c r="K37" s="30">
        <f>F37/F36-1</f>
        <v/>
      </c>
      <c r="L37" s="20">
        <f>B37/B$2*100</f>
        <v/>
      </c>
      <c r="M37" s="20">
        <f>C37/C$2*100</f>
        <v/>
      </c>
      <c r="N37" s="20">
        <f>D37/D$2*100</f>
        <v/>
      </c>
      <c r="O37" s="20">
        <f>E37/E$2*100</f>
        <v/>
      </c>
      <c r="P37" s="20">
        <f>F37/F$2*100</f>
        <v/>
      </c>
    </row>
    <row r="38">
      <c r="A38" t="inlineStr">
        <is>
          <t>2026-03-23</t>
        </is>
      </c>
      <c r="B38" t="n">
        <v>153.92</v>
      </c>
      <c r="C38" t="n">
        <v>383.32</v>
      </c>
      <c r="D38" t="n">
        <v>1347.63</v>
      </c>
      <c r="E38" t="n">
        <v>35214.8</v>
      </c>
      <c r="F38" t="n">
        <v>22819.6</v>
      </c>
      <c r="G38" s="30">
        <f>B38/B37-1</f>
        <v/>
      </c>
      <c r="H38" s="30">
        <f>C38/C37-1</f>
        <v/>
      </c>
      <c r="I38" s="30">
        <f>D38/D37-1</f>
        <v/>
      </c>
      <c r="J38" s="30">
        <f>E38/E37-1</f>
        <v/>
      </c>
      <c r="K38" s="30">
        <f>F38/F37-1</f>
        <v/>
      </c>
      <c r="L38" s="20">
        <f>B38/B$2*100</f>
        <v/>
      </c>
      <c r="M38" s="20">
        <f>C38/C$2*100</f>
        <v/>
      </c>
      <c r="N38" s="20">
        <f>D38/D$2*100</f>
        <v/>
      </c>
      <c r="O38" s="20">
        <f>E38/E$2*100</f>
        <v/>
      </c>
      <c r="P38" s="20">
        <f>F38/F$2*100</f>
        <v/>
      </c>
    </row>
    <row r="39">
      <c r="A39" t="inlineStr">
        <is>
          <t>2026-03-30</t>
        </is>
      </c>
      <c r="B39" t="n">
        <v>159.97</v>
      </c>
      <c r="C39" t="n">
        <v>382.63</v>
      </c>
      <c r="D39" t="n">
        <v>1327.6</v>
      </c>
      <c r="E39" t="n">
        <v>35299.4</v>
      </c>
      <c r="F39" t="n">
        <v>22713.1</v>
      </c>
      <c r="G39" s="30">
        <f>B39/B38-1</f>
        <v/>
      </c>
      <c r="H39" s="30">
        <f>C39/C38-1</f>
        <v/>
      </c>
      <c r="I39" s="30">
        <f>D39/D38-1</f>
        <v/>
      </c>
      <c r="J39" s="30">
        <f>E39/E38-1</f>
        <v/>
      </c>
      <c r="K39" s="30">
        <f>F39/F38-1</f>
        <v/>
      </c>
      <c r="L39" s="20">
        <f>B39/B$2*100</f>
        <v/>
      </c>
      <c r="M39" s="20">
        <f>C39/C$2*100</f>
        <v/>
      </c>
      <c r="N39" s="20">
        <f>D39/D$2*100</f>
        <v/>
      </c>
      <c r="O39" s="20">
        <f>E39/E$2*100</f>
        <v/>
      </c>
      <c r="P39" s="20">
        <f>F39/F$2*100</f>
        <v/>
      </c>
    </row>
    <row r="40">
      <c r="A40" t="inlineStr">
        <is>
          <t>2026-04-06</t>
        </is>
      </c>
      <c r="B40" t="n">
        <v>175.81</v>
      </c>
      <c r="C40" t="n">
        <v>396.89</v>
      </c>
      <c r="D40" t="n">
        <v>1466.72</v>
      </c>
      <c r="E40" t="n">
        <v>37174.6</v>
      </c>
      <c r="F40" t="n">
        <v>24050.6</v>
      </c>
      <c r="G40" s="30">
        <f>B40/B39-1</f>
        <v/>
      </c>
      <c r="H40" s="30">
        <f>C40/C39-1</f>
        <v/>
      </c>
      <c r="I40" s="30">
        <f>D40/D39-1</f>
        <v/>
      </c>
      <c r="J40" s="30">
        <f>E40/E39-1</f>
        <v/>
      </c>
      <c r="K40" s="30">
        <f>F40/F39-1</f>
        <v/>
      </c>
      <c r="L40" s="20">
        <f>B40/B$2*100</f>
        <v/>
      </c>
      <c r="M40" s="20">
        <f>C40/C$2*100</f>
        <v/>
      </c>
      <c r="N40" s="20">
        <f>D40/D$2*100</f>
        <v/>
      </c>
      <c r="O40" s="20">
        <f>E40/E$2*100</f>
        <v/>
      </c>
      <c r="P40" s="20">
        <f>F40/F$2*100</f>
        <v/>
      </c>
    </row>
    <row r="41">
      <c r="A41" t="inlineStr">
        <is>
          <t>2026-04-13</t>
        </is>
      </c>
      <c r="B41" t="n">
        <v>198.5</v>
      </c>
      <c r="C41" t="n">
        <v>424.97</v>
      </c>
      <c r="D41" t="n">
        <v>1559.6</v>
      </c>
      <c r="E41" t="n">
        <v>38881.75</v>
      </c>
      <c r="F41" t="n">
        <v>24353.55</v>
      </c>
      <c r="G41" s="30">
        <f>B41/B40-1</f>
        <v/>
      </c>
      <c r="H41" s="30">
        <f>C41/C40-1</f>
        <v/>
      </c>
      <c r="I41" s="30">
        <f>D41/D40-1</f>
        <v/>
      </c>
      <c r="J41" s="30">
        <f>E41/E40-1</f>
        <v/>
      </c>
      <c r="K41" s="30">
        <f>F41/F40-1</f>
        <v/>
      </c>
      <c r="L41" s="20">
        <f>B41/B$2*100</f>
        <v/>
      </c>
      <c r="M41" s="20">
        <f>C41/C$2*100</f>
        <v/>
      </c>
      <c r="N41" s="20">
        <f>D41/D$2*100</f>
        <v/>
      </c>
      <c r="O41" s="20">
        <f>E41/E$2*100</f>
        <v/>
      </c>
      <c r="P41" s="20">
        <f>F41/F$2*100</f>
        <v/>
      </c>
    </row>
    <row r="42">
      <c r="A42" t="inlineStr">
        <is>
          <t>2026-04-20</t>
        </is>
      </c>
      <c r="B42" t="n">
        <v>212.9</v>
      </c>
      <c r="C42" t="n">
        <v>432.32</v>
      </c>
      <c r="D42" t="n">
        <v>1693.63</v>
      </c>
      <c r="E42" t="n">
        <v>39903.75</v>
      </c>
      <c r="F42" t="n">
        <v>23897.95</v>
      </c>
      <c r="G42" s="30">
        <f>B42/B41-1</f>
        <v/>
      </c>
      <c r="H42" s="30">
        <f>C42/C41-1</f>
        <v/>
      </c>
      <c r="I42" s="30">
        <f>D42/D41-1</f>
        <v/>
      </c>
      <c r="J42" s="30">
        <f>E42/E41-1</f>
        <v/>
      </c>
      <c r="K42" s="30">
        <f>F42/F41-1</f>
        <v/>
      </c>
      <c r="L42" s="20">
        <f>B42/B$2*100</f>
        <v/>
      </c>
      <c r="M42" s="20">
        <f>C42/C$2*100</f>
        <v/>
      </c>
      <c r="N42" s="20">
        <f>D42/D$2*100</f>
        <v/>
      </c>
      <c r="O42" s="20">
        <f>E42/E$2*100</f>
        <v/>
      </c>
      <c r="P42" s="20">
        <f>F42/F$2*100</f>
        <v/>
      </c>
    </row>
    <row r="43">
      <c r="A43" t="inlineStr">
        <is>
          <t>2026-04-27</t>
        </is>
      </c>
      <c r="B43" t="n">
        <v>221.85</v>
      </c>
      <c r="C43" t="n">
        <v>441.81</v>
      </c>
      <c r="D43" t="n">
        <v>1730.01</v>
      </c>
      <c r="E43" t="n">
        <v>40771.9</v>
      </c>
      <c r="F43" t="n">
        <v>23997.55</v>
      </c>
      <c r="G43" s="30">
        <f>B43/B42-1</f>
        <v/>
      </c>
      <c r="H43" s="30">
        <f>C43/C42-1</f>
        <v/>
      </c>
      <c r="I43" s="30">
        <f>D43/D42-1</f>
        <v/>
      </c>
      <c r="J43" s="30">
        <f>E43/E42-1</f>
        <v/>
      </c>
      <c r="K43" s="30">
        <f>F43/F42-1</f>
        <v/>
      </c>
      <c r="L43" s="20">
        <f>B43/B$2*100</f>
        <v/>
      </c>
      <c r="M43" s="20">
        <f>C43/C$2*100</f>
        <v/>
      </c>
      <c r="N43" s="20">
        <f>D43/D$2*100</f>
        <v/>
      </c>
      <c r="O43" s="20">
        <f>E43/E$2*100</f>
        <v/>
      </c>
      <c r="P43" s="20">
        <f>F43/F$2*100</f>
        <v/>
      </c>
    </row>
    <row r="44">
      <c r="A44" t="inlineStr">
        <is>
          <t>2026-05-04</t>
        </is>
      </c>
      <c r="B44" t="n">
        <v>225.33</v>
      </c>
      <c r="C44" t="n">
        <v>433.31</v>
      </c>
      <c r="D44" t="n">
        <v>1718.45</v>
      </c>
      <c r="E44" t="n">
        <v>40795.8</v>
      </c>
      <c r="F44" t="n">
        <v>24176.15</v>
      </c>
      <c r="G44" s="30">
        <f>B44/B43-1</f>
        <v/>
      </c>
      <c r="H44" s="30">
        <f>C44/C43-1</f>
        <v/>
      </c>
      <c r="I44" s="30">
        <f>D44/D43-1</f>
        <v/>
      </c>
      <c r="J44" s="30">
        <f>E44/E43-1</f>
        <v/>
      </c>
      <c r="K44" s="30">
        <f>F44/F43-1</f>
        <v/>
      </c>
      <c r="L44" s="20">
        <f>B44/B$2*100</f>
        <v/>
      </c>
      <c r="M44" s="20">
        <f>C44/C$2*100</f>
        <v/>
      </c>
      <c r="N44" s="20">
        <f>D44/D$2*100</f>
        <v/>
      </c>
      <c r="O44" s="20">
        <f>E44/E$2*100</f>
        <v/>
      </c>
      <c r="P44" s="20">
        <f>F44/F$2*100</f>
        <v/>
      </c>
    </row>
    <row r="45">
      <c r="A45" t="inlineStr">
        <is>
          <t>2026-05-11</t>
        </is>
      </c>
      <c r="B45" t="n">
        <v>221.33</v>
      </c>
      <c r="C45" t="n">
        <v>404.49</v>
      </c>
      <c r="D45" t="n">
        <v>1460.94</v>
      </c>
      <c r="E45" t="n">
        <v>39816.85</v>
      </c>
      <c r="F45" t="n">
        <v>23643.5</v>
      </c>
      <c r="G45" s="30">
        <f>B45/B44-1</f>
        <v/>
      </c>
      <c r="H45" s="30">
        <f>C45/C44-1</f>
        <v/>
      </c>
      <c r="I45" s="30">
        <f>D45/D44-1</f>
        <v/>
      </c>
      <c r="J45" s="30">
        <f>E45/E44-1</f>
        <v/>
      </c>
      <c r="K45" s="30">
        <f>F45/F44-1</f>
        <v/>
      </c>
      <c r="L45" s="20">
        <f>B45/B$2*100</f>
        <v/>
      </c>
      <c r="M45" s="20">
        <f>C45/C$2*100</f>
        <v/>
      </c>
      <c r="N45" s="20">
        <f>D45/D$2*100</f>
        <v/>
      </c>
      <c r="O45" s="20">
        <f>E45/E$2*100</f>
        <v/>
      </c>
      <c r="P45" s="20">
        <f>F45/F$2*100</f>
        <v/>
      </c>
    </row>
    <row r="46">
      <c r="A46" t="inlineStr">
        <is>
          <t>2026-05-18</t>
        </is>
      </c>
      <c r="B46" t="n">
        <v>219.32</v>
      </c>
      <c r="C46" t="n">
        <v>406.38</v>
      </c>
      <c r="D46" t="n">
        <v>1493.33</v>
      </c>
      <c r="E46" t="n">
        <v>40237.6</v>
      </c>
      <c r="F46" t="n">
        <v>23719.3</v>
      </c>
      <c r="G46" s="30">
        <f>B46/B45-1</f>
        <v/>
      </c>
      <c r="H46" s="30">
        <f>C46/C45-1</f>
        <v/>
      </c>
      <c r="I46" s="30">
        <f>D46/D45-1</f>
        <v/>
      </c>
      <c r="J46" s="30">
        <f>E46/E45-1</f>
        <v/>
      </c>
      <c r="K46" s="30">
        <f>F46/F45-1</f>
        <v/>
      </c>
      <c r="L46" s="20">
        <f>B46/B$2*100</f>
        <v/>
      </c>
      <c r="M46" s="20">
        <f>C46/C$2*100</f>
        <v/>
      </c>
      <c r="N46" s="20">
        <f>D46/D$2*100</f>
        <v/>
      </c>
      <c r="O46" s="20">
        <f>E46/E$2*100</f>
        <v/>
      </c>
      <c r="P46" s="20">
        <f>F46/F$2*100</f>
        <v/>
      </c>
    </row>
    <row r="47">
      <c r="A47" t="inlineStr">
        <is>
          <t>2026-05-25</t>
        </is>
      </c>
      <c r="B47" t="n">
        <v>243.37</v>
      </c>
      <c r="C47" t="n">
        <v>418.16</v>
      </c>
      <c r="D47" t="n">
        <v>1415.4</v>
      </c>
      <c r="E47" t="n">
        <v>40878</v>
      </c>
      <c r="F47" t="n">
        <v>23547.75</v>
      </c>
      <c r="G47" s="30">
        <f>B47/B46-1</f>
        <v/>
      </c>
      <c r="H47" s="30">
        <f>C47/C46-1</f>
        <v/>
      </c>
      <c r="I47" s="30">
        <f>D47/D46-1</f>
        <v/>
      </c>
      <c r="J47" s="30">
        <f>E47/E46-1</f>
        <v/>
      </c>
      <c r="K47" s="30">
        <f>F47/F46-1</f>
        <v/>
      </c>
      <c r="L47" s="20">
        <f>B47/B$2*100</f>
        <v/>
      </c>
      <c r="M47" s="20">
        <f>C47/C$2*100</f>
        <v/>
      </c>
      <c r="N47" s="20">
        <f>D47/D$2*100</f>
        <v/>
      </c>
      <c r="O47" s="20">
        <f>E47/E$2*100</f>
        <v/>
      </c>
      <c r="P47" s="20">
        <f>F47/F$2*100</f>
        <v/>
      </c>
    </row>
    <row r="48">
      <c r="A48" t="inlineStr">
        <is>
          <t>2026-06-01</t>
        </is>
      </c>
      <c r="B48" t="n">
        <v>232.6</v>
      </c>
      <c r="C48" t="n">
        <v>406.68</v>
      </c>
      <c r="D48" t="n">
        <v>1455.06</v>
      </c>
      <c r="E48" t="n">
        <v>40346.1</v>
      </c>
      <c r="F48" t="n">
        <v>23366.7</v>
      </c>
      <c r="G48" s="30">
        <f>B48/B47-1</f>
        <v/>
      </c>
      <c r="H48" s="30">
        <f>C48/C47-1</f>
        <v/>
      </c>
      <c r="I48" s="30">
        <f>D48/D47-1</f>
        <v/>
      </c>
      <c r="J48" s="30">
        <f>E48/E47-1</f>
        <v/>
      </c>
      <c r="K48" s="30">
        <f>F48/F47-1</f>
        <v/>
      </c>
      <c r="L48" s="20">
        <f>B48/B$2*100</f>
        <v/>
      </c>
      <c r="M48" s="20">
        <f>C48/C$2*100</f>
        <v/>
      </c>
      <c r="N48" s="20">
        <f>D48/D$2*100</f>
        <v/>
      </c>
      <c r="O48" s="20">
        <f>E48/E$2*100</f>
        <v/>
      </c>
      <c r="P48" s="20">
        <f>F48/F$2*100</f>
        <v/>
      </c>
    </row>
    <row r="49">
      <c r="A49" t="inlineStr">
        <is>
          <t>2026-06-08</t>
        </is>
      </c>
      <c r="B49" t="n">
        <v>223.07</v>
      </c>
      <c r="C49" t="n">
        <v>391.13</v>
      </c>
      <c r="D49" t="n">
        <v>1387.2</v>
      </c>
      <c r="E49" t="n">
        <v>39244.45</v>
      </c>
      <c r="F49" t="n">
        <v>23622.9</v>
      </c>
      <c r="G49" s="30">
        <f>B49/B48-1</f>
        <v/>
      </c>
      <c r="H49" s="30">
        <f>C49/C48-1</f>
        <v/>
      </c>
      <c r="I49" s="30">
        <f>D49/D48-1</f>
        <v/>
      </c>
      <c r="J49" s="30">
        <f>E49/E48-1</f>
        <v/>
      </c>
      <c r="K49" s="30">
        <f>F49/F48-1</f>
        <v/>
      </c>
      <c r="L49" s="20">
        <f>B49/B$2*100</f>
        <v/>
      </c>
      <c r="M49" s="20">
        <f>C49/C$2*100</f>
        <v/>
      </c>
      <c r="N49" s="20">
        <f>D49/D$2*100</f>
        <v/>
      </c>
      <c r="O49" s="20">
        <f>E49/E$2*100</f>
        <v/>
      </c>
      <c r="P49" s="20">
        <f>F49/F$2*100</f>
        <v/>
      </c>
    </row>
    <row r="50">
      <c r="A50" t="inlineStr">
        <is>
          <t>2026-06-15</t>
        </is>
      </c>
      <c r="B50" t="n">
        <v>231.76</v>
      </c>
      <c r="C50" t="n">
        <v>399.87</v>
      </c>
      <c r="D50" t="n">
        <v>1438.4</v>
      </c>
      <c r="E50" t="n">
        <v>40548.1</v>
      </c>
      <c r="F50" t="n">
        <v>24013.1</v>
      </c>
      <c r="G50" s="30">
        <f>B50/B49-1</f>
        <v/>
      </c>
      <c r="H50" s="30">
        <f>C50/C49-1</f>
        <v/>
      </c>
      <c r="I50" s="30">
        <f>D50/D49-1</f>
        <v/>
      </c>
      <c r="J50" s="30">
        <f>E50/E49-1</f>
        <v/>
      </c>
      <c r="K50" s="30">
        <f>F50/F49-1</f>
        <v/>
      </c>
      <c r="L50" s="20">
        <f>B50/B$2*100</f>
        <v/>
      </c>
      <c r="M50" s="20">
        <f>C50/C$2*100</f>
        <v/>
      </c>
      <c r="N50" s="20">
        <f>D50/D$2*100</f>
        <v/>
      </c>
      <c r="O50" s="20">
        <f>E50/E$2*100</f>
        <v/>
      </c>
      <c r="P50" s="20">
        <f>F50/F$2*100</f>
        <v/>
      </c>
    </row>
    <row r="51">
      <c r="A51" t="inlineStr">
        <is>
          <t>2026-06-22</t>
        </is>
      </c>
      <c r="B51" t="n">
        <v>229.27</v>
      </c>
      <c r="C51" t="n">
        <v>388.95</v>
      </c>
      <c r="D51" t="n">
        <v>1413.7</v>
      </c>
      <c r="E51" t="n">
        <v>39637</v>
      </c>
      <c r="F51" t="n">
        <v>24056</v>
      </c>
      <c r="G51" s="30">
        <f>B51/B50-1</f>
        <v/>
      </c>
      <c r="H51" s="30">
        <f>C51/C50-1</f>
        <v/>
      </c>
      <c r="I51" s="30">
        <f>D51/D50-1</f>
        <v/>
      </c>
      <c r="J51" s="30">
        <f>E51/E50-1</f>
        <v/>
      </c>
      <c r="K51" s="30">
        <f>F51/F50-1</f>
        <v/>
      </c>
      <c r="L51" s="20">
        <f>B51/B$2*100</f>
        <v/>
      </c>
      <c r="M51" s="20">
        <f>C51/C$2*100</f>
        <v/>
      </c>
      <c r="N51" s="20">
        <f>D51/D$2*100</f>
        <v/>
      </c>
      <c r="O51" s="20">
        <f>E51/E$2*100</f>
        <v/>
      </c>
      <c r="P51" s="20">
        <f>F51/F$2*100</f>
        <v/>
      </c>
    </row>
    <row r="52">
      <c r="A52" t="inlineStr">
        <is>
          <t>2026-06-29</t>
        </is>
      </c>
      <c r="B52" t="n">
        <v>221.79</v>
      </c>
      <c r="C52" t="n">
        <v>375.2</v>
      </c>
      <c r="D52" t="n">
        <v>1366.5</v>
      </c>
      <c r="E52" t="n">
        <v>39178.6</v>
      </c>
      <c r="F52" t="n">
        <v>24270.85</v>
      </c>
      <c r="G52" s="30">
        <f>B52/B51-1</f>
        <v/>
      </c>
      <c r="H52" s="30">
        <f>C52/C51-1</f>
        <v/>
      </c>
      <c r="I52" s="30">
        <f>D52/D51-1</f>
        <v/>
      </c>
      <c r="J52" s="30">
        <f>E52/E51-1</f>
        <v/>
      </c>
      <c r="K52" s="30">
        <f>F52/F51-1</f>
        <v/>
      </c>
      <c r="L52" s="20">
        <f>B52/B$2*100</f>
        <v/>
      </c>
      <c r="M52" s="20">
        <f>C52/C$2*100</f>
        <v/>
      </c>
      <c r="N52" s="20">
        <f>D52/D$2*100</f>
        <v/>
      </c>
      <c r="O52" s="20">
        <f>E52/E$2*100</f>
        <v/>
      </c>
      <c r="P52" s="20">
        <f>F52/F$2*100</f>
        <v/>
      </c>
    </row>
    <row r="53">
      <c r="A53" t="inlineStr">
        <is>
          <t>2026-07-06</t>
        </is>
      </c>
      <c r="B53" t="n">
        <v>218.45</v>
      </c>
      <c r="C53" t="n">
        <v>381.3</v>
      </c>
      <c r="D53" t="n">
        <v>1419.4</v>
      </c>
      <c r="E53" t="n">
        <v>39242.05</v>
      </c>
      <c r="F53" t="n">
        <v>24206.9</v>
      </c>
      <c r="G53" s="30">
        <f>B53/B52-1</f>
        <v/>
      </c>
      <c r="H53" s="30">
        <f>C53/C52-1</f>
        <v/>
      </c>
      <c r="I53" s="30">
        <f>D53/D52-1</f>
        <v/>
      </c>
      <c r="J53" s="30">
        <f>E53/E52-1</f>
        <v/>
      </c>
      <c r="K53" s="30">
        <f>F53/F52-1</f>
        <v/>
      </c>
      <c r="L53" s="20">
        <f>B53/B$2*100</f>
        <v/>
      </c>
      <c r="M53" s="20">
        <f>C53/C$2*100</f>
        <v/>
      </c>
      <c r="N53" s="20">
        <f>D53/D$2*100</f>
        <v/>
      </c>
      <c r="O53" s="20">
        <f>E53/E$2*100</f>
        <v/>
      </c>
      <c r="P53" s="20">
        <f>F53/F$2*100</f>
        <v/>
      </c>
    </row>
    <row r="54">
      <c r="A54" t="inlineStr">
        <is>
          <t>2026-07-15</t>
        </is>
      </c>
      <c r="B54" t="n">
        <v>218.97</v>
      </c>
      <c r="C54" t="n">
        <v>380.9</v>
      </c>
      <c r="D54" t="n">
        <v>1441.1</v>
      </c>
      <c r="E54" t="n">
        <v>39381.25</v>
      </c>
      <c r="F54" t="n">
        <v>24078.5</v>
      </c>
      <c r="G54" s="30">
        <f>B54/B53-1</f>
        <v/>
      </c>
      <c r="H54" s="30">
        <f>C54/C53-1</f>
        <v/>
      </c>
      <c r="I54" s="30">
        <f>D54/D53-1</f>
        <v/>
      </c>
      <c r="J54" s="30">
        <f>E54/E53-1</f>
        <v/>
      </c>
      <c r="K54" s="30">
        <f>F54/F53-1</f>
        <v/>
      </c>
      <c r="L54" s="20">
        <f>B54/B$2*100</f>
        <v/>
      </c>
      <c r="M54" s="20">
        <f>C54/C$2*100</f>
        <v/>
      </c>
      <c r="N54" s="20">
        <f>D54/D$2*100</f>
        <v/>
      </c>
      <c r="O54" s="20">
        <f>E54/E$2*100</f>
        <v/>
      </c>
      <c r="P54" s="20">
        <f>F54/F$2*100</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1" t="inlineStr">
        <is>
          <t>Not quantified in sources found</t>
        </is>
      </c>
      <c r="D6" s="16" t="inlineStr"/>
    </row>
    <row r="7" ht="45" customHeight="1">
      <c r="A7" s="16" t="inlineStr">
        <is>
          <t>01-Aug-2025</t>
        </is>
      </c>
      <c r="B7" s="16" t="inlineStr">
        <is>
          <t>Q1 FY26 results: PAT ₹3,305 cr (down 15.5% YoY); 1:5 stock split announced</t>
        </is>
      </c>
      <c r="C7" s="21" t="inlineStr">
        <is>
          <t>Not quantified</t>
        </is>
      </c>
      <c r="D7" s="16" t="inlineStr"/>
    </row>
    <row r="8" ht="45" customHeight="1">
      <c r="A8" s="16" t="inlineStr">
        <is>
          <t>Sep-2025</t>
        </is>
      </c>
      <c r="B8" s="16" t="inlineStr">
        <is>
          <t>Adani Power–Druk Green (Bhutan) Shareholders Agreement — 570 MW Wangchhu hydro (~₹6,000 cr)</t>
        </is>
      </c>
      <c r="C8" s="21"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1"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1" t="inlineStr">
        <is>
          <t>Not quantified</t>
        </is>
      </c>
      <c r="D14" s="16" t="inlineStr"/>
    </row>
    <row r="15" ht="45" customHeight="1">
      <c r="A15" s="16" t="inlineStr">
        <is>
          <t>~Mar-2026</t>
        </is>
      </c>
      <c r="B15" s="16" t="inlineStr">
        <is>
          <t>NCLT approval of Jaiprakash Power Ventures resolution plan</t>
        </is>
      </c>
      <c r="C15" s="21" t="inlineStr">
        <is>
          <t>Not quantified</t>
        </is>
      </c>
      <c r="D15" s="16" t="inlineStr"/>
    </row>
    <row r="16" ht="45" customHeight="1">
      <c r="A16" s="16" t="inlineStr">
        <is>
          <t>29-Apr-2026</t>
        </is>
      </c>
      <c r="B16" s="16" t="inlineStr">
        <is>
          <t>Q4/FY26 results: Q4 PAT ₹4,271 cr (+64% YoY); FY26 PAT ₹12,971 cr vs ₹12,750 cr FY25</t>
        </is>
      </c>
      <c r="C16" s="21"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1"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4"/>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2026-07-15</t>
        </is>
      </c>
      <c r="B54"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31"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FY22-FY26, all three companies — still not filled; pull from NSE historical data or Yahoo Finance (split-adjust Adani Power for its Sep-2025 1:5 split).</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53-week adjusted-close series (dates common to all 5 series) for all 3 stocks + Nifty 50 + Nifty Energy parsed from Yahoo HTML files in the repo; all returns/volatility/beta figures in Sheet 11 are LIVE FORMULAS referencing Weekly_Price_Data. Still open: year-end FY22-FY26 share prices for the Sheet 2 growth table.</t>
        </is>
      </c>
    </row>
    <row r="31" ht="30" customHeight="1">
      <c r="A31"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32" ht="30" customHeight="1">
      <c r="A32"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2"/>
  <sheetViews>
    <sheetView workbookViewId="0">
      <pane ySplit="5" topLeftCell="A6" activePane="bottomLeft" state="frozen"/>
      <selection pane="bottomLeft" activeCell="A1" sqref="A1"/>
    </sheetView>
  </sheetViews>
  <sheetFormatPr baseColWidth="8" defaultRowHeight="15"/>
  <cols>
    <col width="34" customWidth="1" min="1" max="1"/>
    <col width="46" customWidth="1" min="2" max="2"/>
    <col width="52" customWidth="1" min="3" max="3"/>
    <col width="22" customWidth="1" min="4" max="4"/>
  </cols>
  <sheetData>
    <row r="1" ht="24" customHeight="1">
      <c r="A1" s="7" t="inlineStr">
        <is>
          <t>14. References — where every figure in this workbook comes from</t>
        </is>
      </c>
    </row>
    <row r="2">
      <c r="A2" s="8" t="inlineStr">
        <is>
          <t>Primary sources are the audited Annual Report PDFs stored in this same repository/submission folder; page-level trail is via the named statement (Consolidated Balance Sheet / P&amp;L / specific Note). Secondary sources are named per item.</t>
        </is>
      </c>
    </row>
    <row r="3" ht="6" customHeight="1"/>
    <row r="5">
      <c r="A5" s="10" t="inlineStr">
        <is>
          <t>Data category (sheet)</t>
        </is>
      </c>
      <c r="B5" s="10" t="inlineStr">
        <is>
          <t>Primary source (document in this repo)</t>
        </is>
      </c>
      <c r="C5" s="10" t="inlineStr">
        <is>
          <t>Exact location within source</t>
        </is>
      </c>
      <c r="D5" s="10" t="inlineStr">
        <is>
          <t>Status</t>
        </is>
      </c>
    </row>
    <row r="6" ht="68" customHeight="1">
      <c r="A6" s="16" t="inlineStr">
        <is>
          <t>Business overview &amp; market (Sheet 1)</t>
        </is>
      </c>
      <c r="B6" s="16" t="inlineStr">
        <is>
          <t>Company Integrated Annual Reports FY25-26 (all 3 companies): AR_29298_ADANIPOWER, AR_29380_TATAPOWER, AR_29704_TORNTPOWER</t>
        </is>
      </c>
      <c r="C6" s="16" t="inlineStr">
        <is>
          <t>Corporate Overview &amp; Management Discussion and Analysis (MD&amp;A) sections; capacity figures from company press releases via Business Standard / BusinessToday coverage</t>
        </is>
      </c>
      <c r="D6" s="16" t="inlineStr">
        <is>
          <t>Primary + named secondary</t>
        </is>
      </c>
    </row>
    <row r="7" ht="68" customHeight="1">
      <c r="A7" s="16" t="inlineStr">
        <is>
          <t>Revenue / Total Income, PAT, Total Assets FY22-FY26 (Sheets 2, FS_Extracts)</t>
        </is>
      </c>
      <c r="B7" s="16" t="inlineStr">
        <is>
          <t>Adani Power ARs: AR_22088 (FY23), AR_24072 (FY24), ADANIPOWER-2025 / AR_26476 (FY25), AR_29298 (FY26); Tata Power ARs: AR_20052 (FY22), AR_2022_2023 (FY23), AR_24164 (FY24), AR_26536 (FY25), AR_29380 (FY26); Torrent Power ARs: AR_20392 (FY22), AR_22356 (FY23), AR_24323 (FY24), AR_26840 (FY25), AR_29704 (FY26)</t>
        </is>
      </c>
      <c r="C7" s="16" t="inlineStr">
        <is>
          <t>Consolidated Balance Sheet and Consolidated Statement of Profit and Loss in each report (current year + prior-year comparative column). Every figure verified to sit under an explicit 'Consolidated' heading, not standalone.</t>
        </is>
      </c>
      <c r="D7" s="16" t="inlineStr">
        <is>
          <t>VERIFIED primary</t>
        </is>
      </c>
    </row>
    <row r="8" ht="68" customHeight="1">
      <c r="A8" s="16" t="inlineStr">
        <is>
          <t>Full Balance Sheet / P&amp;L line items (Adani_BS/PL, Tata_BS/PL, Torrent_BS/PL sheets)</t>
        </is>
      </c>
      <c r="B8" s="16" t="inlineStr">
        <is>
          <t>Same Annual Report PDFs as above</t>
        </is>
      </c>
      <c r="C8" s="16" t="inlineStr">
        <is>
          <t>Consolidated Balance Sheet / Consolidated Statement of Profit and Loss, line by line; all subtotals are live Excel formulas over these line items</t>
        </is>
      </c>
      <c r="D8" s="16" t="inlineStr">
        <is>
          <t>VERIFIED primary</t>
        </is>
      </c>
    </row>
    <row r="9" ht="68" customHeight="1">
      <c r="A9" s="16" t="inlineStr">
        <is>
          <t>Employee headcount (Sheets 2-3)</t>
        </is>
      </c>
      <c r="B9" s="16" t="inlineStr">
        <is>
          <t>Same Annual Report PDFs</t>
        </is>
      </c>
      <c r="C9" s="16" t="inlineStr">
        <is>
          <t>Directors' Report annexure under Rule 5(1) of Companies (Appointment &amp; Remuneration) Rules — 'permanent employees on the rolls of the Company' (standalone-entity disclosure by law)</t>
        </is>
      </c>
      <c r="D9" s="16" t="inlineStr">
        <is>
          <t>VERIFIED primary (standalone basis)</t>
        </is>
      </c>
    </row>
    <row r="10" ht="68" customHeight="1">
      <c r="A10" s="16" t="inlineStr">
        <is>
          <t>Segment data FY22-FY26 (Sheet 6)</t>
        </is>
      </c>
      <c r="B10" s="16" t="inlineStr">
        <is>
          <t>Same Annual Report PDFs</t>
        </is>
      </c>
      <c r="C10" s="16" t="inlineStr">
        <is>
          <t>Notes to Consolidated Financial Statements — 'Segment Reporting' / 'Operating Segments' note (Ind AS 108); e.g. Note 62 (Adani FY23), Note 46 (Tata FY23), Note 53/54 (Torrent FY23 — 'no reportable segment' statement)</t>
        </is>
      </c>
      <c r="D10" s="16" t="inlineStr">
        <is>
          <t>VERIFIED primary</t>
        </is>
      </c>
    </row>
    <row r="11" ht="68" customHeight="1">
      <c r="A11" s="16" t="inlineStr">
        <is>
          <t>Shareholding pattern, &gt;5% holders, promoter pledge (Sheet 5)</t>
        </is>
      </c>
      <c r="B11" s="16" t="inlineStr">
        <is>
          <t>FY25-26 Annual Reports (all 3)</t>
        </is>
      </c>
      <c r="C11" s="16" t="inlineStr">
        <is>
          <t>Corporate Governance Report / Notes to financial statements — shareholding pattern table, 'shareholders holding more than 5%' note, promoter shareholding table; FII/DII category splits cross-checked with Trendlyne/exchange aggregator snapshots (secondary)</t>
        </is>
      </c>
      <c r="D11" s="16" t="inlineStr">
        <is>
          <t>Primary (promoter/&gt;5%/pledge); secondary (FII/DII splits)</t>
        </is>
      </c>
    </row>
    <row r="12" ht="68" customHeight="1">
      <c r="A12" s="16" t="inlineStr">
        <is>
          <t>Subsidiaries, associates, JVs (Sheets 7-8)</t>
        </is>
      </c>
      <c r="B12" s="16" t="inlineStr">
        <is>
          <t>FY25-26 Annual Reports (all 3)</t>
        </is>
      </c>
      <c r="C12" s="16" t="inlineStr">
        <is>
          <t>Form AOC-1 annexure (statement of salient features of financial statements of subsidiaries/associates/JVs) — entity names, % holdings, turnover and PAT per entity</t>
        </is>
      </c>
      <c r="D12" s="16" t="inlineStr">
        <is>
          <t>VERIFIED primary</t>
        </is>
      </c>
    </row>
    <row r="13" ht="68" customHeight="1">
      <c r="A13" s="16" t="inlineStr">
        <is>
          <t>Investments other than subs/assoc/JVs (Sheet 9)</t>
        </is>
      </c>
      <c r="B13" s="16" t="inlineStr">
        <is>
          <t>FY22-23 Annual Reports (all 3)</t>
        </is>
      </c>
      <c r="C13" s="16" t="inlineStr">
        <is>
          <t>Notes to Consolidated Financial Statements — Non-current Investments and Current Investments notes (e.g. Torrent Notes 10 &amp; 16; Adani Notes 5 &amp; 9)</t>
        </is>
      </c>
      <c r="D13" s="16" t="inlineStr">
        <is>
          <t>VERIFIED primary</t>
        </is>
      </c>
    </row>
    <row r="14" ht="68" customHeight="1">
      <c r="A14" s="16" t="inlineStr">
        <is>
          <t>Acquisitions &amp; deal values (Sheet 4)</t>
        </is>
      </c>
      <c r="B14" s="16" t="inlineStr">
        <is>
          <t>Directors' Reports in the Annual Report PDFs (deal completion/status) + financial press</t>
        </is>
      </c>
      <c r="C14" s="16" t="inlineStr">
        <is>
          <t>Directors' Report M&amp;A discussion; deal values from Business Standard, BusinessToday, Mercom India, PIB releases, NCLT/CCI filings as reported; each row states its basis</t>
        </is>
      </c>
      <c r="D14" s="16" t="inlineStr">
        <is>
          <t>Primary + named secondary</t>
        </is>
      </c>
    </row>
    <row r="15" ht="68" customHeight="1">
      <c r="A15" s="16" t="inlineStr">
        <is>
          <t>Financing changes, credit ratings (Sheet 10)</t>
        </is>
      </c>
      <c r="B15" s="16" t="inlineStr">
        <is>
          <t>CRISIL / ICRA / India Ratings rating rationales; company press releases; exchange filings via financial press</t>
        </is>
      </c>
      <c r="C15" s="16" t="inlineStr">
        <is>
          <t>crisil.com rating rationale pages (Adani Power Feb-2025 upgrade, Tata Power Apr-2024 upgrade, Torrent reaffirmations); QIP/NCD details from Business Standard/exchange-filing coverage</t>
        </is>
      </c>
      <c r="D15" s="16" t="inlineStr">
        <is>
          <t>Named secondary (recognized rating agencies/press)</t>
        </is>
      </c>
    </row>
    <row r="16" ht="68" customHeight="1">
      <c r="A16" s="16" t="inlineStr">
        <is>
          <t>Weekly share prices, returns, volatility, beta (Sheets 11, Weekly_Price_Data)</t>
        </is>
      </c>
      <c r="B16" s="16" t="inlineStr">
        <is>
          <t>Yahoo Finance Historical Data pages saved in this repo: ADANIPOWER_weekly.htm, TATAPOWER_weekly.htm, TORRENTPOWER_weekly.htm, NIFTYENERGY_weekly.htm, NIFTY50_weeklyreal.htm</t>
        </is>
      </c>
      <c r="C16" s="16" t="inlineStr">
        <is>
          <t>Weekly adjusted-close tables, 14-Jul-2025 to 15-Jul-2026, split-adjusted; 53 dates common to all 5 series; all stats are live Excel formulas (STDEV/SLOPE) over these prices</t>
        </is>
      </c>
      <c r="D16" s="16" t="inlineStr">
        <is>
          <t>Primary data files in repo; computations auditable in-cell</t>
        </is>
      </c>
    </row>
    <row r="17" ht="68" customHeight="1">
      <c r="A17" s="16" t="inlineStr">
        <is>
          <t>Major announcements &amp; price reaction (Sheet 12)</t>
        </is>
      </c>
      <c r="B17" s="16" t="inlineStr">
        <is>
          <t>Company press releases / exchange announcements as covered by Business Standard, BusinessToday, PSU Connect + the weekly price series above</t>
        </is>
      </c>
      <c r="C17" s="16" t="inlineStr">
        <is>
          <t>Each announcement row lists the event; price overlay from Weekly_Price_Data; exact filing dates should be cross-checked on BSE corporate announcements page before an event-study</t>
        </is>
      </c>
      <c r="D17" s="16" t="inlineStr">
        <is>
          <t>Named secondary + repo price data</t>
        </is>
      </c>
    </row>
    <row r="18" ht="68" customHeight="1">
      <c r="A18" s="16" t="inlineStr">
        <is>
          <t>Course requirements (structure of this file)</t>
        </is>
      </c>
      <c r="B18" s="16" t="inlineStr">
        <is>
          <t>FADM_(1).pdf (course plan, in this repo)</t>
        </is>
      </c>
      <c r="C18" s="16" t="inlineStr">
        <is>
          <t>Project Schedule table — Session-6 'Part-1' deliverable list; 'file must contain the financial statements... trails to the FSs' requirement</t>
        </is>
      </c>
      <c r="D18" s="16" t="inlineStr">
        <is>
          <t>Primary</t>
        </is>
      </c>
    </row>
    <row r="20">
      <c r="A20" s="32" t="inlineStr">
        <is>
          <t>Note on verifiability: every Annual Report PDF and Yahoo Finance price file cited above is included in the same repository/folder as this workbook, so any figure can be traced end-to-end: workbook cell → FS_Extracts / detail sheet → named statement or note → source PDF. Items marked 'named secondary' (credit ratings, deal values, announcement dates) come from recognized public sources (rating agencies, national financial press, government releases) because that information is not disclosed inside audited financial statements.</t>
        </is>
      </c>
    </row>
    <row r="21"/>
    <row r="22"/>
  </sheetData>
  <mergeCells count="3">
    <mergeCell ref="A1:D1"/>
    <mergeCell ref="A20:D22"/>
    <mergeCell ref="A2:D2"/>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34" t="inlineStr">
        <is>
          <t>Sources: Adani Power Ltd Integrated Annual Reports FY22-23 (AR_22088), FY23-24 (AR_24072), FY24-25 (ADANIPOWER-2025) and FY25-26 (AR_29298) — 'Consolidated Balance Sheet' as at each year-end. GREEN 'Total' cells are LIVE FORMULAS summing the line items above them — click any total to see exactly what it adds up.</t>
        </is>
      </c>
    </row>
    <row r="4">
      <c r="A4" s="35" t="inlineStr">
        <is>
          <t>Particulars (₹ crore)</t>
        </is>
      </c>
      <c r="B4" s="36" t="inlineStr">
        <is>
          <t>Mar-2026</t>
        </is>
      </c>
      <c r="C4" s="36" t="inlineStr">
        <is>
          <t>Mar-2025</t>
        </is>
      </c>
      <c r="D4" s="36" t="inlineStr">
        <is>
          <t>Mar-2024</t>
        </is>
      </c>
      <c r="E4" s="36" t="inlineStr">
        <is>
          <t>Mar-2023</t>
        </is>
      </c>
      <c r="F4" s="36" t="inlineStr">
        <is>
          <t>Mar-2022</t>
        </is>
      </c>
    </row>
    <row r="5">
      <c r="A5" s="37" t="inlineStr">
        <is>
          <t>ASSETS</t>
        </is>
      </c>
      <c r="B5" s="38" t="n"/>
      <c r="C5" s="38" t="n"/>
      <c r="D5" s="38" t="n"/>
      <c r="E5" s="38" t="n"/>
      <c r="F5" s="38" t="n"/>
    </row>
    <row r="6">
      <c r="A6" s="37" t="inlineStr">
        <is>
          <t>Non-current Assets</t>
        </is>
      </c>
      <c r="B6" s="38" t="n"/>
      <c r="C6" s="38" t="n"/>
      <c r="D6" s="38" t="n"/>
      <c r="E6" s="38" t="n"/>
      <c r="F6" s="38" t="n"/>
    </row>
    <row r="7">
      <c r="A7" s="39" t="inlineStr">
        <is>
          <t>Property, Plant and Equipment</t>
        </is>
      </c>
      <c r="B7" s="38" t="n">
        <v>66814.60000000001</v>
      </c>
      <c r="C7" s="38" t="n">
        <v>66707.23</v>
      </c>
      <c r="D7" s="38" t="n">
        <v>62812.71</v>
      </c>
      <c r="E7" s="38" t="n">
        <v>50543.8</v>
      </c>
      <c r="F7" s="38" t="n">
        <v>53071.62</v>
      </c>
    </row>
    <row r="8">
      <c r="A8" s="39" t="inlineStr">
        <is>
          <t>Right-of-use Assets</t>
        </is>
      </c>
      <c r="B8" s="38" t="n">
        <v>2261.28</v>
      </c>
      <c r="C8" s="38" t="n">
        <v>2319.82</v>
      </c>
      <c r="D8" s="38" t="n"/>
      <c r="E8" s="38" t="n"/>
      <c r="F8" s="38" t="n"/>
    </row>
    <row r="9">
      <c r="A9" s="39" t="inlineStr">
        <is>
          <t>Capital Work-in-Progress</t>
        </is>
      </c>
      <c r="B9" s="38" t="n">
        <v>35053.46</v>
      </c>
      <c r="C9" s="38" t="n">
        <v>12104.42</v>
      </c>
      <c r="D9" s="38" t="n">
        <v>925.12</v>
      </c>
      <c r="E9" s="38" t="n">
        <v>12879.54</v>
      </c>
      <c r="F9" s="38" t="n">
        <v>10269.74</v>
      </c>
    </row>
    <row r="10">
      <c r="A10" s="39" t="inlineStr">
        <is>
          <t>Investment Property</t>
        </is>
      </c>
      <c r="B10" s="38" t="n">
        <v>92.25</v>
      </c>
      <c r="C10" s="38" t="n">
        <v>48.69</v>
      </c>
      <c r="D10" s="38" t="n">
        <v>0</v>
      </c>
      <c r="E10" s="38" t="n">
        <v>704.9400000000001</v>
      </c>
      <c r="F10" s="38" t="n">
        <v>0</v>
      </c>
    </row>
    <row r="11">
      <c r="A11" s="39" t="inlineStr">
        <is>
          <t>Goodwill</t>
        </is>
      </c>
      <c r="B11" s="38" t="n">
        <v>204.52</v>
      </c>
      <c r="C11" s="38" t="n">
        <v>204.52</v>
      </c>
      <c r="D11" s="38" t="n">
        <v>190.61</v>
      </c>
      <c r="E11" s="38" t="n">
        <v>190.61</v>
      </c>
      <c r="F11" s="38" t="n">
        <v>190.61</v>
      </c>
    </row>
    <row r="12">
      <c r="A12" s="39" t="inlineStr">
        <is>
          <t>Other Intangible Assets</t>
        </is>
      </c>
      <c r="B12" s="38" t="n">
        <v>28.81</v>
      </c>
      <c r="C12" s="38" t="n">
        <v>17.19</v>
      </c>
      <c r="D12" s="38" t="n">
        <v>12.53</v>
      </c>
      <c r="E12" s="38" t="n">
        <v>12.03</v>
      </c>
      <c r="F12" s="38" t="n">
        <v>11.98</v>
      </c>
    </row>
    <row r="13">
      <c r="A13" s="39" t="inlineStr">
        <is>
          <t>Investments (Non-current)</t>
        </is>
      </c>
      <c r="B13" s="38" t="n">
        <v>24.64</v>
      </c>
      <c r="C13" s="38" t="n">
        <v>59.51</v>
      </c>
      <c r="D13" s="38" t="n">
        <v>0.01</v>
      </c>
      <c r="E13" s="38" t="n">
        <v>42.51</v>
      </c>
      <c r="F13" s="38" t="n">
        <v>0.01</v>
      </c>
    </row>
    <row r="14">
      <c r="A14" s="39" t="inlineStr">
        <is>
          <t>Loans (Non-current)</t>
        </is>
      </c>
      <c r="B14" s="38" t="n">
        <v>7.5</v>
      </c>
      <c r="C14" s="38" t="n"/>
      <c r="D14" s="38" t="n"/>
      <c r="E14" s="38" t="n"/>
      <c r="F14" s="38" t="n"/>
    </row>
    <row r="15">
      <c r="A15" s="39" t="inlineStr">
        <is>
          <t>Other Financial Assets (Non-current)</t>
        </is>
      </c>
      <c r="B15" s="38" t="n">
        <v>690.36</v>
      </c>
      <c r="C15" s="38" t="n">
        <v>691.41</v>
      </c>
      <c r="D15" s="38" t="n">
        <v>636.2</v>
      </c>
      <c r="E15" s="38" t="n">
        <v>779.71</v>
      </c>
      <c r="F15" s="38" t="n">
        <v>856.04</v>
      </c>
    </row>
    <row r="16">
      <c r="A16" s="39" t="inlineStr">
        <is>
          <t>Non-current Tax Assets (Net)</t>
        </is>
      </c>
      <c r="B16" s="38" t="n">
        <v>192.06</v>
      </c>
      <c r="C16" s="38" t="n">
        <v>216.55</v>
      </c>
      <c r="D16" s="38" t="n">
        <v>365.72</v>
      </c>
      <c r="E16" s="38" t="n"/>
      <c r="F16" s="38" t="n"/>
    </row>
    <row r="17">
      <c r="A17" s="39" t="inlineStr">
        <is>
          <t>Deferred Tax Assets (Net)</t>
        </is>
      </c>
      <c r="B17" s="38" t="n">
        <v>811.39</v>
      </c>
      <c r="C17" s="38" t="n">
        <v>0</v>
      </c>
      <c r="D17" s="38" t="n">
        <v>376.34</v>
      </c>
      <c r="E17" s="38" t="n">
        <v>0</v>
      </c>
      <c r="F17" s="38" t="n"/>
    </row>
    <row r="18">
      <c r="A18" s="39" t="inlineStr">
        <is>
          <t>Other Non-current Assets</t>
        </is>
      </c>
      <c r="B18" s="38" t="n">
        <v>7410.97</v>
      </c>
      <c r="C18" s="38" t="n">
        <v>4219</v>
      </c>
      <c r="D18" s="38" t="n">
        <v>1418.95</v>
      </c>
      <c r="E18" s="38" t="n">
        <v>1115.13</v>
      </c>
      <c r="F18" s="38" t="n">
        <v>1352.95</v>
      </c>
    </row>
    <row r="19">
      <c r="A19" s="15" t="inlineStr">
        <is>
          <t>Total Non-current Assets</t>
        </is>
      </c>
      <c r="B19" s="40">
        <f>B7+B8+B9+B10+B11+B12+B13+B14+B15+B16+B17+B18</f>
        <v/>
      </c>
      <c r="C19" s="40">
        <f>C7+C8+C9+C10+C11+C12+C13+C14+C15+C16+C17+C18</f>
        <v/>
      </c>
      <c r="D19" s="40">
        <f>D7+D8+D9+D10+D11+D12+D13+D14+D15+D16+D17+D18</f>
        <v/>
      </c>
      <c r="E19" s="40">
        <f>E7+E8+E9+E10+E11+E12+E13+E14+E15+E16+E17+E18</f>
        <v/>
      </c>
      <c r="F19" s="40">
        <f>F7+F8+F9+F10+F11+F12+F13+F14+F15+F16+F17+F18</f>
        <v/>
      </c>
    </row>
    <row r="20">
      <c r="A20" s="37" t="inlineStr">
        <is>
          <t>Current Assets</t>
        </is>
      </c>
      <c r="B20" s="38" t="n"/>
      <c r="C20" s="38" t="n"/>
      <c r="D20" s="38" t="n"/>
      <c r="E20" s="38" t="n"/>
      <c r="F20" s="38" t="n"/>
    </row>
    <row r="21">
      <c r="A21" s="39" t="inlineStr">
        <is>
          <t>Inventories</t>
        </is>
      </c>
      <c r="B21" s="38" t="n">
        <v>3623.48</v>
      </c>
      <c r="C21" s="38" t="n">
        <v>3317.28</v>
      </c>
      <c r="D21" s="38" t="n">
        <v>4142.1</v>
      </c>
      <c r="E21" s="38" t="n">
        <v>3075.2</v>
      </c>
      <c r="F21" s="38" t="n">
        <v>2258.27</v>
      </c>
    </row>
    <row r="22">
      <c r="A22" s="39" t="inlineStr">
        <is>
          <t>Investments (Current)</t>
        </is>
      </c>
      <c r="B22" s="38" t="n">
        <v>1491.35</v>
      </c>
      <c r="C22" s="38" t="n">
        <v>1037.7</v>
      </c>
      <c r="D22" s="38" t="n">
        <v>373.5</v>
      </c>
      <c r="E22" s="38" t="n">
        <v>611.54</v>
      </c>
      <c r="F22" s="38" t="n">
        <v>183.24</v>
      </c>
    </row>
    <row r="23">
      <c r="A23" s="39" t="inlineStr">
        <is>
          <t>Trade Receivables</t>
        </is>
      </c>
      <c r="B23" s="38" t="n">
        <v>11791.37</v>
      </c>
      <c r="C23" s="38" t="n">
        <v>13022.07</v>
      </c>
      <c r="D23" s="38" t="n">
        <v>11677.48</v>
      </c>
      <c r="E23" s="38" t="n">
        <v>11529.36</v>
      </c>
      <c r="F23" s="38" t="n">
        <v>9560.92</v>
      </c>
    </row>
    <row r="24">
      <c r="A24" s="39" t="inlineStr">
        <is>
          <t>Cash and Cash Equivalents</t>
        </is>
      </c>
      <c r="B24" s="38" t="n">
        <v>927.88</v>
      </c>
      <c r="C24" s="38" t="n">
        <v>319.86</v>
      </c>
      <c r="D24" s="38" t="n">
        <v>1136.25</v>
      </c>
      <c r="E24" s="38" t="n">
        <v>349.23</v>
      </c>
      <c r="F24" s="38" t="n">
        <v>782.37</v>
      </c>
    </row>
    <row r="25">
      <c r="A25" s="39" t="inlineStr">
        <is>
          <t>Bank Balances other than above</t>
        </is>
      </c>
      <c r="B25" s="38" t="n">
        <v>5998.44</v>
      </c>
      <c r="C25" s="38" t="n">
        <v>5800.02</v>
      </c>
      <c r="D25" s="38" t="n">
        <v>6075.51</v>
      </c>
      <c r="E25" s="38" t="n">
        <v>1524.42</v>
      </c>
      <c r="F25" s="38" t="n">
        <v>1582.31</v>
      </c>
    </row>
    <row r="26">
      <c r="A26" s="39" t="inlineStr">
        <is>
          <t>Loans (Current)</t>
        </is>
      </c>
      <c r="B26" s="38" t="n">
        <v>10.99</v>
      </c>
      <c r="C26" s="38" t="n">
        <v>6.82</v>
      </c>
      <c r="D26" s="38" t="n">
        <v>3.49</v>
      </c>
      <c r="E26" s="38" t="n">
        <v>3.19</v>
      </c>
      <c r="F26" s="38" t="n">
        <v>7.62</v>
      </c>
    </row>
    <row r="27">
      <c r="A27" s="39" t="inlineStr">
        <is>
          <t>Other Financial Assets (Current)</t>
        </is>
      </c>
      <c r="B27" s="38" t="n">
        <v>2161.97</v>
      </c>
      <c r="C27" s="38" t="n">
        <v>887.51</v>
      </c>
      <c r="D27" s="38" t="n">
        <v>435.82</v>
      </c>
      <c r="E27" s="38" t="n">
        <v>557.5</v>
      </c>
      <c r="F27" s="38" t="n">
        <v>308.28</v>
      </c>
    </row>
    <row r="28">
      <c r="A28" s="39" t="inlineStr">
        <is>
          <t>Current Tax Assets (Net)</t>
        </is>
      </c>
      <c r="B28" s="38" t="n">
        <v>0</v>
      </c>
      <c r="C28" s="38" t="n">
        <v>196.41</v>
      </c>
      <c r="D28" s="38" t="n">
        <v>0</v>
      </c>
      <c r="E28" s="38" t="n"/>
      <c r="F28" s="38" t="n"/>
    </row>
    <row r="29">
      <c r="A29" s="39" t="inlineStr">
        <is>
          <t>Other Current Assets</t>
        </is>
      </c>
      <c r="B29" s="38" t="n">
        <v>2682.6</v>
      </c>
      <c r="C29" s="38" t="n">
        <v>1725.78</v>
      </c>
      <c r="D29" s="38" t="n">
        <v>1742.43</v>
      </c>
      <c r="E29" s="38" t="n">
        <v>1902.56</v>
      </c>
      <c r="F29" s="38" t="n">
        <v>1545.06</v>
      </c>
    </row>
    <row r="30">
      <c r="A30" s="15" t="inlineStr">
        <is>
          <t>Total Current Assets</t>
        </is>
      </c>
      <c r="B30" s="40">
        <f>B21+B22+B23+B24+B25+B26+B27+B28+B29</f>
        <v/>
      </c>
      <c r="C30" s="40">
        <f>C21+C22+C23+C24+C25+C26+C27+C28+C29</f>
        <v/>
      </c>
      <c r="D30" s="40">
        <f>D21+D22+D23+D24+D25+D26+D27+D28+D29</f>
        <v/>
      </c>
      <c r="E30" s="40">
        <f>E21+E22+E23+E24+E25+E26+E27+E28+E29</f>
        <v/>
      </c>
      <c r="F30" s="40">
        <f>F21+F22+F23+F24+F25+F26+F27+F28+F29</f>
        <v/>
      </c>
    </row>
    <row r="31">
      <c r="A31" s="39" t="inlineStr">
        <is>
          <t>Assets Classified as Held for Sale</t>
        </is>
      </c>
      <c r="B31" s="38" t="n">
        <v>0</v>
      </c>
      <c r="C31" s="38" t="n">
        <v>15.78</v>
      </c>
      <c r="D31" s="38" t="n">
        <v>0</v>
      </c>
      <c r="E31" s="38" t="n"/>
      <c r="F31" s="38" t="n"/>
    </row>
    <row r="32">
      <c r="A32" s="15" t="inlineStr">
        <is>
          <t>TOTAL ASSETS</t>
        </is>
      </c>
      <c r="B32" s="40">
        <f>B19+B30+B31</f>
        <v/>
      </c>
      <c r="C32" s="40">
        <f>C19+C30+C31</f>
        <v/>
      </c>
      <c r="D32" s="40">
        <f>D19+D30+D31</f>
        <v/>
      </c>
      <c r="E32" s="40">
        <f>E19+E30+E31</f>
        <v/>
      </c>
      <c r="F32" s="40">
        <f>F19+F30+F31</f>
        <v/>
      </c>
    </row>
    <row r="33">
      <c r="A33" s="37" t="inlineStr">
        <is>
          <t>EQUITY AND LIABILITIES</t>
        </is>
      </c>
      <c r="B33" s="38" t="n"/>
      <c r="C33" s="38" t="n"/>
      <c r="D33" s="38" t="n"/>
      <c r="E33" s="38" t="n"/>
      <c r="F33" s="38" t="n"/>
    </row>
    <row r="34">
      <c r="A34" s="39" t="inlineStr">
        <is>
          <t>Equity Share Capital</t>
        </is>
      </c>
      <c r="B34" s="38" t="n">
        <v>3856.94</v>
      </c>
      <c r="C34" s="38" t="n">
        <v>3856.94</v>
      </c>
      <c r="D34" s="38" t="n">
        <v>3856.94</v>
      </c>
      <c r="E34" s="38" t="n">
        <v>3856.94</v>
      </c>
      <c r="F34" s="38" t="n">
        <v>3856.94</v>
      </c>
    </row>
    <row r="35">
      <c r="A35" s="39" t="inlineStr">
        <is>
          <t>Instrument entirely Equity in nature / Unsecured Perpetual Securities</t>
        </is>
      </c>
      <c r="B35" s="38" t="n">
        <v>0</v>
      </c>
      <c r="C35" s="38" t="n">
        <v>3056.92</v>
      </c>
      <c r="D35" s="38" t="n">
        <v>7315</v>
      </c>
      <c r="E35" s="38" t="n">
        <v>13215</v>
      </c>
      <c r="F35" s="38" t="n">
        <v>13215</v>
      </c>
    </row>
    <row r="36">
      <c r="A36" s="39" t="inlineStr">
        <is>
          <t>Other Equity</t>
        </is>
      </c>
      <c r="B36" s="38" t="n">
        <v>61079.94</v>
      </c>
      <c r="C36" s="38" t="n">
        <v>49433.23</v>
      </c>
      <c r="D36" s="38" t="n">
        <v>31973.09</v>
      </c>
      <c r="E36" s="38" t="n">
        <v>12803.72</v>
      </c>
      <c r="F36" s="38" t="n">
        <v>1631.5</v>
      </c>
    </row>
    <row r="37">
      <c r="A37" s="15" t="inlineStr">
        <is>
          <t>Equity attributable to equity holders of the parent</t>
        </is>
      </c>
      <c r="B37" s="40">
        <f>B34+B35+B36</f>
        <v/>
      </c>
      <c r="C37" s="40">
        <f>C34+C35+C36</f>
        <v/>
      </c>
      <c r="D37" s="40">
        <f>D34+D35+D36</f>
        <v/>
      </c>
      <c r="E37" s="40">
        <f>E34+E35+E36</f>
        <v/>
      </c>
      <c r="F37" s="40">
        <f>F34+F35+F36</f>
        <v/>
      </c>
    </row>
    <row r="38">
      <c r="A38" s="39" t="inlineStr">
        <is>
          <t>Non-Controlling Interests</t>
        </is>
      </c>
      <c r="B38" s="38" t="n">
        <v>1465.04</v>
      </c>
      <c r="C38" s="38" t="n">
        <v>1326.47</v>
      </c>
      <c r="D38" s="38" t="n">
        <v>0</v>
      </c>
      <c r="E38" s="38" t="n">
        <v>0</v>
      </c>
      <c r="F38" s="38" t="n">
        <v>0</v>
      </c>
    </row>
    <row r="39">
      <c r="A39" s="15" t="inlineStr">
        <is>
          <t>Total Equity</t>
        </is>
      </c>
      <c r="B39" s="40">
        <f>B37+B38</f>
        <v/>
      </c>
      <c r="C39" s="40">
        <f>C37+C38</f>
        <v/>
      </c>
      <c r="D39" s="40">
        <f>D37+D38</f>
        <v/>
      </c>
      <c r="E39" s="40">
        <f>E37+E38</f>
        <v/>
      </c>
      <c r="F39" s="40">
        <f>F37+F38</f>
        <v/>
      </c>
    </row>
    <row r="40">
      <c r="A40" s="37" t="inlineStr">
        <is>
          <t>Non-current Liabilities</t>
        </is>
      </c>
      <c r="B40" s="38" t="n"/>
      <c r="C40" s="38" t="n"/>
      <c r="D40" s="38" t="n"/>
      <c r="E40" s="38" t="n"/>
      <c r="F40" s="38" t="n"/>
    </row>
    <row r="41">
      <c r="A41" s="39" t="inlineStr">
        <is>
          <t>Borrowings (Non-current)</t>
        </is>
      </c>
      <c r="B41" s="38" t="n">
        <v>42829.6</v>
      </c>
      <c r="C41" s="38" t="n">
        <v>27646.96</v>
      </c>
      <c r="D41" s="38" t="n">
        <v>26595.01</v>
      </c>
      <c r="E41" s="38" t="n">
        <v>33702.6</v>
      </c>
      <c r="F41" s="38" t="n">
        <v>37871.32</v>
      </c>
    </row>
    <row r="42">
      <c r="A42" s="39" t="inlineStr">
        <is>
          <t>Lease Liabilities (Non-current)</t>
        </is>
      </c>
      <c r="B42" s="38" t="n">
        <v>1049.27</v>
      </c>
      <c r="C42" s="38" t="n">
        <v>1094.04</v>
      </c>
      <c r="D42" s="38" t="n">
        <v>143.11</v>
      </c>
      <c r="E42" s="38" t="n">
        <v>88.31999999999999</v>
      </c>
      <c r="F42" s="38" t="n">
        <v>94.36</v>
      </c>
    </row>
    <row r="43">
      <c r="A43" s="39" t="inlineStr">
        <is>
          <t>Other Financial Liabilities (Non-current)</t>
        </is>
      </c>
      <c r="B43" s="38" t="n">
        <v>185.69</v>
      </c>
      <c r="C43" s="38" t="n">
        <v>1.17</v>
      </c>
      <c r="D43" s="38" t="n">
        <v>1.07</v>
      </c>
      <c r="E43" s="38" t="n">
        <v>0</v>
      </c>
      <c r="F43" s="38" t="n">
        <v>960.37</v>
      </c>
    </row>
    <row r="44">
      <c r="A44" s="39" t="inlineStr">
        <is>
          <t>Provisions (Non-current)</t>
        </is>
      </c>
      <c r="B44" s="38" t="n">
        <v>359.9</v>
      </c>
      <c r="C44" s="38" t="n">
        <v>339.64</v>
      </c>
      <c r="D44" s="38" t="n">
        <v>237.45</v>
      </c>
      <c r="E44" s="38" t="n">
        <v>226.95</v>
      </c>
      <c r="F44" s="38" t="n">
        <v>220.87</v>
      </c>
    </row>
    <row r="45">
      <c r="A45" s="39" t="inlineStr">
        <is>
          <t>Deferred Tax Liabilities (Net)</t>
        </is>
      </c>
      <c r="B45" s="38" t="n">
        <v>5827.15</v>
      </c>
      <c r="C45" s="38" t="n">
        <v>4022.73</v>
      </c>
      <c r="D45" s="38" t="n">
        <v>315.8</v>
      </c>
      <c r="E45" s="38" t="n">
        <v>0</v>
      </c>
      <c r="F45" s="38" t="n">
        <v>2499.78</v>
      </c>
    </row>
    <row r="46">
      <c r="A46" s="39" t="inlineStr">
        <is>
          <t>Other Non-current Liabilities</t>
        </is>
      </c>
      <c r="B46" s="38" t="n">
        <v>5298.18</v>
      </c>
      <c r="C46" s="38" t="n">
        <v>5698.48</v>
      </c>
      <c r="D46" s="38" t="n">
        <v>6098.63</v>
      </c>
      <c r="E46" s="38" t="n">
        <v>4183.15</v>
      </c>
      <c r="F46" s="38" t="n">
        <v>4487.21</v>
      </c>
    </row>
    <row r="47">
      <c r="A47" s="15" t="inlineStr">
        <is>
          <t>Total Non-current Liabilities</t>
        </is>
      </c>
      <c r="B47" s="40">
        <f>B41+B42+B43+B44+B45+B46</f>
        <v/>
      </c>
      <c r="C47" s="40">
        <f>C41+C42+C43+C44+C45+C46</f>
        <v/>
      </c>
      <c r="D47" s="40">
        <f>D41+D42+D43+D44+D45+D46</f>
        <v/>
      </c>
      <c r="E47" s="40">
        <f>E41+E42+E43+E44+E45+E46</f>
        <v/>
      </c>
      <c r="F47" s="40">
        <f>F41+F42+F43+F44+F45+F46</f>
        <v/>
      </c>
    </row>
    <row r="48">
      <c r="A48" s="37" t="inlineStr">
        <is>
          <t>Current Liabilities</t>
        </is>
      </c>
      <c r="B48" s="38" t="n"/>
      <c r="C48" s="38" t="n"/>
      <c r="D48" s="38" t="n"/>
      <c r="E48" s="38" t="n"/>
      <c r="F48" s="38" t="n"/>
    </row>
    <row r="49">
      <c r="A49" s="39" t="inlineStr">
        <is>
          <t>Borrowings (Current)</t>
        </is>
      </c>
      <c r="B49" s="38" t="n">
        <v>10725.94</v>
      </c>
      <c r="C49" s="38" t="n">
        <v>10687.92</v>
      </c>
      <c r="D49" s="38" t="n">
        <v>7861.85</v>
      </c>
      <c r="E49" s="38" t="n">
        <v>8549.450000000001</v>
      </c>
      <c r="F49" s="38" t="n">
        <v>10924.36</v>
      </c>
    </row>
    <row r="50">
      <c r="A50" s="39" t="inlineStr">
        <is>
          <t>Lease Liabilities (Current)</t>
        </is>
      </c>
      <c r="B50" s="38" t="n">
        <v>65.48</v>
      </c>
      <c r="C50" s="38" t="n">
        <v>65.95</v>
      </c>
      <c r="D50" s="38" t="n">
        <v>15.59</v>
      </c>
      <c r="E50" s="38" t="n">
        <v>9.16</v>
      </c>
      <c r="F50" s="38" t="n">
        <v>8.390000000000001</v>
      </c>
    </row>
    <row r="51">
      <c r="A51" s="39" t="inlineStr">
        <is>
          <t>Trade Payables — micro/small enterprises</t>
        </is>
      </c>
      <c r="B51" s="38" t="n">
        <v>183.98</v>
      </c>
      <c r="C51" s="38" t="n">
        <v>215.73</v>
      </c>
      <c r="D51" s="38" t="n">
        <v>141.93</v>
      </c>
      <c r="E51" s="38" t="n">
        <v>95.76000000000001</v>
      </c>
      <c r="F51" s="38" t="n">
        <v>57.59</v>
      </c>
    </row>
    <row r="52">
      <c r="A52" s="39" t="inlineStr">
        <is>
          <t>Trade Payables — other creditors</t>
        </is>
      </c>
      <c r="B52" s="38" t="n">
        <v>2656.55</v>
      </c>
      <c r="C52" s="38" t="n">
        <v>2761.93</v>
      </c>
      <c r="D52" s="38" t="n">
        <v>3494.37</v>
      </c>
      <c r="E52" s="38" t="n">
        <v>2983.69</v>
      </c>
      <c r="F52" s="38" t="n">
        <v>3450.62</v>
      </c>
    </row>
    <row r="53">
      <c r="A53" s="39" t="inlineStr">
        <is>
          <t>Other Financial Liabilities (Current)</t>
        </is>
      </c>
      <c r="B53" s="38" t="n">
        <v>4049.65</v>
      </c>
      <c r="C53" s="38" t="n">
        <v>1230.62</v>
      </c>
      <c r="D53" s="38" t="n">
        <v>2089.8</v>
      </c>
      <c r="E53" s="38" t="n">
        <v>2461.58</v>
      </c>
      <c r="F53" s="38" t="n">
        <v>1167.32</v>
      </c>
    </row>
    <row r="54">
      <c r="A54" s="39" t="inlineStr">
        <is>
          <t>Other Current Liabilities</t>
        </is>
      </c>
      <c r="B54" s="38" t="n">
        <v>994.38</v>
      </c>
      <c r="C54" s="38" t="n">
        <v>1348.74</v>
      </c>
      <c r="D54" s="38" t="n">
        <v>2159.44</v>
      </c>
      <c r="E54" s="38" t="n">
        <v>3622.82</v>
      </c>
      <c r="F54" s="38" t="n">
        <v>861.36</v>
      </c>
    </row>
    <row r="55">
      <c r="A55" s="39" t="inlineStr">
        <is>
          <t>Provisions (Current)</t>
        </is>
      </c>
      <c r="B55" s="38" t="n">
        <v>96.95999999999999</v>
      </c>
      <c r="C55" s="38" t="n">
        <v>70.23999999999999</v>
      </c>
      <c r="D55" s="38" t="n">
        <v>25.69</v>
      </c>
      <c r="E55" s="38" t="n">
        <v>21.64</v>
      </c>
      <c r="F55" s="38" t="n">
        <v>28.71</v>
      </c>
    </row>
    <row r="56">
      <c r="A56" s="39" t="inlineStr">
        <is>
          <t>Current Tax Liabilities (Net)</t>
        </is>
      </c>
      <c r="B56" s="38" t="n">
        <v>1555.27</v>
      </c>
      <c r="C56" s="38" t="n">
        <v>59.86</v>
      </c>
      <c r="D56" s="38" t="n">
        <v>0</v>
      </c>
      <c r="E56" s="38" t="n">
        <v>0.49</v>
      </c>
      <c r="F56" s="38" t="n">
        <v>645.3200000000001</v>
      </c>
    </row>
    <row r="57">
      <c r="A57" s="15" t="inlineStr">
        <is>
          <t>Total Current Liabilities</t>
        </is>
      </c>
      <c r="B57" s="40">
        <f>B49+B50+B51+B52+B53+B54+B55+B56</f>
        <v/>
      </c>
      <c r="C57" s="40">
        <f>C49+C50+C51+C52+C53+C54+C55+C56</f>
        <v/>
      </c>
      <c r="D57" s="40">
        <f>D49+D50+D51+D52+D53+D54+D55+D56</f>
        <v/>
      </c>
      <c r="E57" s="40">
        <f>E49+E50+E51+E52+E53+E54+E55+E56</f>
        <v/>
      </c>
      <c r="F57" s="40">
        <f>F49+F50+F51+F52+F53+F54+F55+F56</f>
        <v/>
      </c>
    </row>
    <row r="58">
      <c r="A58" s="15" t="inlineStr">
        <is>
          <t>Total Liabilities</t>
        </is>
      </c>
      <c r="B58" s="40">
        <f>B47+B57</f>
        <v/>
      </c>
      <c r="C58" s="40">
        <f>C47+C57</f>
        <v/>
      </c>
      <c r="D58" s="40">
        <f>D47+D57</f>
        <v/>
      </c>
      <c r="E58" s="40">
        <f>E47+E57</f>
        <v/>
      </c>
      <c r="F58" s="40">
        <f>F47+F57</f>
        <v/>
      </c>
    </row>
    <row r="59">
      <c r="A59" s="15" t="inlineStr">
        <is>
          <t>TOTAL EQUITY AND LIABILITIES</t>
        </is>
      </c>
      <c r="B59" s="40">
        <f>B39+B58</f>
        <v/>
      </c>
      <c r="C59" s="40">
        <f>C39+C58</f>
        <v/>
      </c>
      <c r="D59" s="40">
        <f>D39+D58</f>
        <v/>
      </c>
      <c r="E59" s="40">
        <f>E39+E58</f>
        <v/>
      </c>
      <c r="F59" s="40">
        <f>F39+F58</f>
        <v/>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34" t="inlineStr">
        <is>
          <t>Sources: Adani Power Ltd Integrated Annual Reports FY22-23, FY23-24, FY24-25 and FY25-26 — 'Consolidated Statement of Profit and Loss' for each year ended. GREEN 'Total'/'Profit' cells are LIVE FORMULAS.</t>
        </is>
      </c>
    </row>
    <row r="4">
      <c r="A4" s="35" t="inlineStr">
        <is>
          <t>Particulars (₹ crore)</t>
        </is>
      </c>
      <c r="B4" s="36" t="inlineStr">
        <is>
          <t>FY 2025-26</t>
        </is>
      </c>
      <c r="C4" s="36" t="inlineStr">
        <is>
          <t>FY 2024-25</t>
        </is>
      </c>
      <c r="D4" s="36" t="inlineStr">
        <is>
          <t>FY 2023-24</t>
        </is>
      </c>
      <c r="E4" s="36" t="inlineStr">
        <is>
          <t>FY 2022-23</t>
        </is>
      </c>
      <c r="F4" s="36" t="inlineStr">
        <is>
          <t>FY 2021-22</t>
        </is>
      </c>
    </row>
    <row r="5">
      <c r="A5" s="37" t="inlineStr">
        <is>
          <t>Income</t>
        </is>
      </c>
      <c r="B5" s="38" t="n"/>
      <c r="C5" s="38" t="n"/>
      <c r="D5" s="38" t="n"/>
      <c r="E5" s="38" t="n"/>
      <c r="F5" s="38" t="n"/>
    </row>
    <row r="6">
      <c r="A6" s="39" t="inlineStr">
        <is>
          <t>Revenue from Operations</t>
        </is>
      </c>
      <c r="B6" s="38" t="n">
        <v>54240.52</v>
      </c>
      <c r="C6" s="38" t="n">
        <v>56203.09</v>
      </c>
      <c r="D6" s="38" t="n">
        <v>50351.25</v>
      </c>
      <c r="E6" s="38" t="n">
        <v>38773.3</v>
      </c>
      <c r="F6" s="38" t="n">
        <v>27711.18</v>
      </c>
    </row>
    <row r="7">
      <c r="A7" s="39" t="inlineStr">
        <is>
          <t>Other Income</t>
        </is>
      </c>
      <c r="B7" s="38" t="n">
        <v>3624.76</v>
      </c>
      <c r="C7" s="38" t="n">
        <v>2702.74</v>
      </c>
      <c r="D7" s="38" t="n">
        <v>9930.23</v>
      </c>
      <c r="E7" s="38" t="n">
        <v>4267.22</v>
      </c>
      <c r="F7" s="38" t="n">
        <v>3975.29</v>
      </c>
    </row>
    <row r="8">
      <c r="A8" s="15" t="inlineStr">
        <is>
          <t>Total Income</t>
        </is>
      </c>
      <c r="B8" s="40">
        <f>B6+B7</f>
        <v/>
      </c>
      <c r="C8" s="40">
        <f>C6+C7</f>
        <v/>
      </c>
      <c r="D8" s="40">
        <f>D6+D7</f>
        <v/>
      </c>
      <c r="E8" s="40">
        <f>E6+E7</f>
        <v/>
      </c>
      <c r="F8" s="40">
        <f>F6+F7</f>
        <v/>
      </c>
    </row>
    <row r="9">
      <c r="A9" s="37" t="inlineStr">
        <is>
          <t>Expenses</t>
        </is>
      </c>
      <c r="B9" s="38" t="n"/>
      <c r="C9" s="38" t="n"/>
      <c r="D9" s="38" t="n"/>
      <c r="E9" s="38" t="n"/>
      <c r="F9" s="38" t="n"/>
    </row>
    <row r="10">
      <c r="A10" s="39" t="inlineStr">
        <is>
          <t>Fuel Cost</t>
        </is>
      </c>
      <c r="B10" s="38" t="n">
        <v>29168.02</v>
      </c>
      <c r="C10" s="38" t="n">
        <v>30273.25</v>
      </c>
      <c r="D10" s="38" t="n">
        <v>28452.64</v>
      </c>
      <c r="E10" s="38" t="n">
        <v>25480.85</v>
      </c>
      <c r="F10" s="38" t="n">
        <v>14762.21</v>
      </c>
    </row>
    <row r="11">
      <c r="A11" s="39" t="inlineStr">
        <is>
          <t>Purchase of Stock-in-trade / Power for resale</t>
        </is>
      </c>
      <c r="B11" s="38" t="n">
        <v>209.66</v>
      </c>
      <c r="C11" s="38" t="n">
        <v>356.99</v>
      </c>
      <c r="D11" s="38" t="n">
        <v>222.26</v>
      </c>
      <c r="E11" s="38" t="n">
        <v>214.14</v>
      </c>
      <c r="F11" s="38" t="n">
        <v>545.5599999999999</v>
      </c>
    </row>
    <row r="12">
      <c r="A12" s="39" t="inlineStr">
        <is>
          <t>Transmission Charges</t>
        </is>
      </c>
      <c r="B12" s="38" t="n">
        <v>557.42</v>
      </c>
      <c r="C12" s="38" t="n">
        <v>459.09</v>
      </c>
      <c r="D12" s="38" t="n">
        <v>503.99</v>
      </c>
      <c r="E12" s="38" t="n">
        <v>519.61</v>
      </c>
      <c r="F12" s="38" t="n">
        <v>642.77</v>
      </c>
    </row>
    <row r="13">
      <c r="A13" s="39" t="inlineStr">
        <is>
          <t>Employee Benefits Expense</t>
        </is>
      </c>
      <c r="B13" s="38" t="n">
        <v>855.1799999999999</v>
      </c>
      <c r="C13" s="38" t="n">
        <v>784.4</v>
      </c>
      <c r="D13" s="38" t="n">
        <v>643.7</v>
      </c>
      <c r="E13" s="38" t="n">
        <v>569.99</v>
      </c>
      <c r="F13" s="38" t="n">
        <v>470.31</v>
      </c>
    </row>
    <row r="14">
      <c r="A14" s="39" t="inlineStr">
        <is>
          <t>Finance Costs (net)</t>
        </is>
      </c>
      <c r="B14" s="38" t="n">
        <v>3366.83</v>
      </c>
      <c r="C14" s="38" t="n">
        <v>3339.79</v>
      </c>
      <c r="D14" s="38" t="n">
        <v>3388.09</v>
      </c>
      <c r="E14" s="38" t="n">
        <v>3333.5</v>
      </c>
      <c r="F14" s="38" t="n">
        <v>4094.78</v>
      </c>
    </row>
    <row r="15">
      <c r="A15" s="39" t="inlineStr">
        <is>
          <t>Depreciation and Amortisation Expense</t>
        </is>
      </c>
      <c r="B15" s="38" t="n">
        <v>4564.53</v>
      </c>
      <c r="C15" s="38" t="n">
        <v>4308.88</v>
      </c>
      <c r="D15" s="38" t="n">
        <v>3931.33</v>
      </c>
      <c r="E15" s="38" t="n">
        <v>3303.68</v>
      </c>
      <c r="F15" s="38" t="n">
        <v>3117.54</v>
      </c>
    </row>
    <row r="16">
      <c r="A16" s="39" t="inlineStr">
        <is>
          <t>Other Expenses</t>
        </is>
      </c>
      <c r="B16" s="38" t="n">
        <v>3644.13</v>
      </c>
      <c r="C16" s="38" t="n">
        <v>3023.92</v>
      </c>
      <c r="D16" s="38" t="n">
        <v>2347.96</v>
      </c>
      <c r="E16" s="38" t="n">
        <v>1944.05</v>
      </c>
      <c r="F16" s="38" t="n">
        <v>1476.17</v>
      </c>
    </row>
    <row r="17">
      <c r="A17" s="15" t="inlineStr">
        <is>
          <t>Total Expenses</t>
        </is>
      </c>
      <c r="B17" s="40">
        <f>B10+B11+B12+B13+B14+B15+B16</f>
        <v/>
      </c>
      <c r="C17" s="40">
        <f>C10+C11+C12+C13+C14+C15+C16</f>
        <v/>
      </c>
      <c r="D17" s="40">
        <f>D10+D11+D12+D13+D14+D15+D16</f>
        <v/>
      </c>
      <c r="E17" s="40">
        <f>E10+E11+E12+E13+E14+E15+E16</f>
        <v/>
      </c>
      <c r="F17" s="40">
        <f>F10+F11+F12+F13+F14+F15+F16</f>
        <v/>
      </c>
    </row>
    <row r="18">
      <c r="A18" s="15" t="inlineStr">
        <is>
          <t>Profit before share of JV profit and tax</t>
        </is>
      </c>
      <c r="B18" s="40">
        <f>B8-B17</f>
        <v/>
      </c>
      <c r="C18" s="40">
        <f>C8-C17</f>
        <v/>
      </c>
      <c r="D18" s="40">
        <f>D8-D17</f>
        <v/>
      </c>
      <c r="E18" s="40">
        <f>E8-E17</f>
        <v/>
      </c>
      <c r="F18" s="40">
        <f>F8-F17</f>
        <v/>
      </c>
    </row>
    <row r="19">
      <c r="A19" s="39" t="inlineStr">
        <is>
          <t>Total Tax Expense/(Credit)</t>
        </is>
      </c>
      <c r="B19" s="38" t="n">
        <v>2528.43</v>
      </c>
      <c r="C19" s="38" t="n">
        <v>3609.9</v>
      </c>
      <c r="D19" s="38" t="n">
        <v>-37.28</v>
      </c>
      <c r="E19" s="38" t="n">
        <v>-3267.37</v>
      </c>
      <c r="F19" s="38" t="n">
        <v>1744.8</v>
      </c>
    </row>
    <row r="20">
      <c r="A20" s="39" t="inlineStr">
        <is>
          <t>Add: Deferred tax (adj.)/recoverable from future tariff (net of tax)</t>
        </is>
      </c>
      <c r="B20" s="38" t="n"/>
      <c r="C20" s="38" t="n"/>
      <c r="D20" s="38" t="n">
        <v>0</v>
      </c>
      <c r="E20" s="38" t="n">
        <v>-215.43</v>
      </c>
      <c r="F20" s="38" t="n">
        <v>79.25</v>
      </c>
    </row>
    <row r="21">
      <c r="A21" s="15" t="inlineStr">
        <is>
          <t>Profit for the Year (PAT, consolidated)</t>
        </is>
      </c>
      <c r="B21" s="40">
        <f>B18-B19+B20</f>
        <v/>
      </c>
      <c r="C21" s="40">
        <f>C18-C19+C20</f>
        <v/>
      </c>
      <c r="D21" s="40">
        <f>D18-D19+D20</f>
        <v/>
      </c>
      <c r="E21" s="40">
        <f>E18-E19+E20</f>
        <v/>
      </c>
      <c r="F21" s="40">
        <f>F18-F19+F20</f>
        <v/>
      </c>
    </row>
    <row r="22">
      <c r="A22" s="39" t="inlineStr">
        <is>
          <t>Other Comprehensive Income, net of tax</t>
        </is>
      </c>
      <c r="B22" s="38" t="n">
        <v>19.67</v>
      </c>
      <c r="C22" s="38" t="n">
        <v>-2.69</v>
      </c>
      <c r="D22" s="38" t="n">
        <v>-27.49</v>
      </c>
      <c r="E22" s="38" t="n">
        <v>33.74</v>
      </c>
      <c r="F22" s="38" t="n">
        <v>43.63</v>
      </c>
    </row>
    <row r="23">
      <c r="A23" s="15" t="inlineStr">
        <is>
          <t>Total Comprehensive Income for the Year</t>
        </is>
      </c>
      <c r="B23" s="40">
        <f>B21+B22</f>
        <v/>
      </c>
      <c r="C23" s="40">
        <f>C21+C22</f>
        <v/>
      </c>
      <c r="D23" s="40">
        <f>D21+D22</f>
        <v/>
      </c>
      <c r="E23" s="40">
        <f>E21+E22</f>
        <v/>
      </c>
      <c r="F23" s="40">
        <f>F21+F22</f>
        <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6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34" t="inlineStr">
        <is>
          <t>Sources: Tata Power Integrated Annual Reports FY21-22 (AR_20052), FY23-24 (AR_24164) and FY25-26 (AR_29380) — 'Consolidated Balance Sheet' as at each year-end. GREEN 'Total' cells are LIVE FORMULAS summing the line items above them.</t>
        </is>
      </c>
    </row>
    <row r="4">
      <c r="A4" s="35" t="inlineStr">
        <is>
          <t>Particulars (₹ crore)</t>
        </is>
      </c>
      <c r="B4" s="36" t="inlineStr">
        <is>
          <t>Mar-2026</t>
        </is>
      </c>
      <c r="C4" s="36" t="inlineStr">
        <is>
          <t>Mar-2025</t>
        </is>
      </c>
      <c r="D4" s="36" t="inlineStr">
        <is>
          <t>Mar-2024</t>
        </is>
      </c>
      <c r="E4" s="36" t="inlineStr">
        <is>
          <t>Mar-2023</t>
        </is>
      </c>
      <c r="F4" s="36" t="inlineStr">
        <is>
          <t>Mar-2022</t>
        </is>
      </c>
    </row>
    <row r="5">
      <c r="A5" s="37" t="inlineStr">
        <is>
          <t>ASSETS</t>
        </is>
      </c>
      <c r="B5" s="38" t="n"/>
      <c r="C5" s="38" t="n"/>
      <c r="D5" s="38" t="n"/>
      <c r="E5" s="38" t="n"/>
      <c r="F5" s="38" t="n"/>
    </row>
    <row r="6">
      <c r="A6" s="37" t="inlineStr">
        <is>
          <t>Non-current Assets</t>
        </is>
      </c>
      <c r="B6" s="38" t="n"/>
      <c r="C6" s="38" t="n"/>
      <c r="D6" s="38" t="n"/>
      <c r="E6" s="38" t="n"/>
      <c r="F6" s="38" t="n"/>
    </row>
    <row r="7">
      <c r="A7" s="39" t="inlineStr">
        <is>
          <t>Property, Plant and Equipment</t>
        </is>
      </c>
      <c r="B7" s="38" t="n">
        <v>78870.53999999999</v>
      </c>
      <c r="C7" s="38" t="n">
        <v>70261.38</v>
      </c>
      <c r="D7" s="38" t="n">
        <v>59624.06</v>
      </c>
      <c r="E7" s="38" t="n">
        <v>54524.96</v>
      </c>
      <c r="F7" s="38" t="n">
        <v>50502.96</v>
      </c>
    </row>
    <row r="8">
      <c r="A8" s="39" t="inlineStr">
        <is>
          <t>Right of Use Assets</t>
        </is>
      </c>
      <c r="B8" s="38" t="n">
        <v>5525.44</v>
      </c>
      <c r="C8" s="38" t="n">
        <v>5089.89</v>
      </c>
      <c r="D8" s="38" t="n">
        <v>4368.75</v>
      </c>
      <c r="E8" s="38" t="n">
        <v>3982.05</v>
      </c>
      <c r="F8" s="38" t="n">
        <v>3661.99</v>
      </c>
    </row>
    <row r="9">
      <c r="A9" s="39" t="inlineStr">
        <is>
          <t>Capital Work-in-Progress</t>
        </is>
      </c>
      <c r="B9" s="38" t="n">
        <v>14595.13</v>
      </c>
      <c r="C9" s="38" t="n">
        <v>12678.87</v>
      </c>
      <c r="D9" s="38" t="n">
        <v>11561.31</v>
      </c>
      <c r="E9" s="38" t="n">
        <v>5376.36</v>
      </c>
      <c r="F9" s="38" t="n">
        <v>4635.1</v>
      </c>
    </row>
    <row r="10">
      <c r="A10" s="39" t="inlineStr">
        <is>
          <t>Goodwill</t>
        </is>
      </c>
      <c r="B10" s="38" t="n">
        <v>1651.46</v>
      </c>
      <c r="C10" s="38" t="n">
        <v>1651.46</v>
      </c>
      <c r="D10" s="38" t="n">
        <v>1757.46</v>
      </c>
      <c r="E10" s="38" t="n">
        <v>1858.31</v>
      </c>
      <c r="F10" s="38" t="n">
        <v>1858.31</v>
      </c>
    </row>
    <row r="11">
      <c r="A11" s="39" t="inlineStr">
        <is>
          <t>Other Intangible Assets</t>
        </is>
      </c>
      <c r="B11" s="38" t="n">
        <v>1245.25</v>
      </c>
      <c r="C11" s="38" t="n">
        <v>1371.7</v>
      </c>
      <c r="D11" s="38" t="n">
        <v>1459.29</v>
      </c>
      <c r="E11" s="38" t="n">
        <v>1381.34</v>
      </c>
      <c r="F11" s="38" t="n">
        <v>1366.18</v>
      </c>
    </row>
    <row r="12">
      <c r="A12" s="39" t="inlineStr">
        <is>
          <t>Investments accounted for using Equity Method</t>
        </is>
      </c>
      <c r="B12" s="38" t="n">
        <v>13549.05</v>
      </c>
      <c r="C12" s="38" t="n">
        <v>12894.22</v>
      </c>
      <c r="D12" s="38" t="n">
        <v>12983.51</v>
      </c>
      <c r="E12" s="38" t="n">
        <v>14218.88</v>
      </c>
      <c r="F12" s="38" t="n">
        <v>12580</v>
      </c>
    </row>
    <row r="13">
      <c r="A13" s="39" t="inlineStr">
        <is>
          <t>Other Investments (Non-current)</t>
        </is>
      </c>
      <c r="B13" s="38" t="n">
        <v>1669.37</v>
      </c>
      <c r="C13" s="38" t="n">
        <v>2119.75</v>
      </c>
      <c r="D13" s="38" t="n">
        <v>1854.59</v>
      </c>
      <c r="E13" s="38" t="n">
        <v>1301.21</v>
      </c>
      <c r="F13" s="38" t="n">
        <v>1169.81</v>
      </c>
    </row>
    <row r="14">
      <c r="A14" s="39" t="inlineStr">
        <is>
          <t>Trade Receivables (Non-current)</t>
        </is>
      </c>
      <c r="B14" s="38" t="n">
        <v>1599.35</v>
      </c>
      <c r="C14" s="38" t="n">
        <v>1223.02</v>
      </c>
      <c r="D14" s="38" t="n">
        <v>273.29</v>
      </c>
      <c r="E14" s="38" t="n">
        <v>359.63</v>
      </c>
      <c r="F14" s="38" t="n">
        <v>685.78</v>
      </c>
    </row>
    <row r="15">
      <c r="A15" s="39" t="inlineStr">
        <is>
          <t>Loans (Non-current)</t>
        </is>
      </c>
      <c r="B15" s="38" t="n">
        <v>37.14</v>
      </c>
      <c r="C15" s="38" t="n">
        <v>2</v>
      </c>
      <c r="D15" s="38" t="n">
        <v>2.48</v>
      </c>
      <c r="E15" s="38" t="n">
        <v>2.99</v>
      </c>
      <c r="F15" s="38" t="n">
        <v>3.45</v>
      </c>
    </row>
    <row r="16">
      <c r="A16" s="39" t="inlineStr">
        <is>
          <t>Finance Lease Receivables (Non-current)</t>
        </is>
      </c>
      <c r="B16" s="38" t="n">
        <v>837.84</v>
      </c>
      <c r="C16" s="38" t="n">
        <v>526.98</v>
      </c>
      <c r="D16" s="38" t="n">
        <v>561.66</v>
      </c>
      <c r="E16" s="38" t="n">
        <v>567.22</v>
      </c>
      <c r="F16" s="38" t="n">
        <v>588.6900000000001</v>
      </c>
    </row>
    <row r="17">
      <c r="A17" s="39" t="inlineStr">
        <is>
          <t>Other Financial Assets (Non-current)</t>
        </is>
      </c>
      <c r="B17" s="38" t="n">
        <v>3522.62</v>
      </c>
      <c r="C17" s="38" t="n">
        <v>2168.98</v>
      </c>
      <c r="D17" s="38" t="n">
        <v>2084.5</v>
      </c>
      <c r="E17" s="38" t="n">
        <v>1726.66</v>
      </c>
      <c r="F17" s="38" t="n">
        <v>1684.53</v>
      </c>
    </row>
    <row r="18">
      <c r="A18" s="39" t="inlineStr">
        <is>
          <t>Non-current Tax Assets (Net)</t>
        </is>
      </c>
      <c r="B18" s="38" t="n">
        <v>960.96</v>
      </c>
      <c r="C18" s="38" t="n">
        <v>745.78</v>
      </c>
      <c r="D18" s="38" t="n">
        <v>585.89</v>
      </c>
      <c r="E18" s="38" t="n">
        <v>739.0700000000001</v>
      </c>
      <c r="F18" s="38" t="n">
        <v>520.54</v>
      </c>
    </row>
    <row r="19">
      <c r="A19" s="39" t="inlineStr">
        <is>
          <t>Deferred Tax Assets (Net)</t>
        </is>
      </c>
      <c r="B19" s="38" t="n">
        <v>607.54</v>
      </c>
      <c r="C19" s="38" t="n">
        <v>517.99</v>
      </c>
      <c r="D19" s="38" t="n">
        <v>499.09</v>
      </c>
      <c r="E19" s="38" t="n">
        <v>252.9</v>
      </c>
      <c r="F19" s="38" t="n">
        <v>334.6</v>
      </c>
    </row>
    <row r="20">
      <c r="A20" s="39" t="inlineStr">
        <is>
          <t>Other Non-current Assets</t>
        </is>
      </c>
      <c r="B20" s="38" t="n">
        <v>10635.84</v>
      </c>
      <c r="C20" s="38" t="n">
        <v>8393.799999999999</v>
      </c>
      <c r="D20" s="38" t="n">
        <v>5173.57</v>
      </c>
      <c r="E20" s="38" t="n">
        <v>2532.46</v>
      </c>
      <c r="F20" s="38" t="n">
        <v>1849.82</v>
      </c>
    </row>
    <row r="21">
      <c r="A21" s="15" t="inlineStr">
        <is>
          <t>Total Non-current Assets</t>
        </is>
      </c>
      <c r="B21" s="40">
        <f>B7+B8+B9+B10+B11+B12+B13+B14+B15+B16+B17+B18+B19+B20</f>
        <v/>
      </c>
      <c r="C21" s="40">
        <f>C7+C8+C9+C10+C11+C12+C13+C14+C15+C16+C17+C18+C19+C20</f>
        <v/>
      </c>
      <c r="D21" s="40">
        <f>D7+D8+D9+D10+D11+D12+D13+D14+D15+D16+D17+D18+D19+D20</f>
        <v/>
      </c>
      <c r="E21" s="40">
        <f>E7+E8+E9+E10+E11+E12+E13+E14+E15+E16+E17+E18+E19+E20</f>
        <v/>
      </c>
      <c r="F21" s="40">
        <f>F7+F8+F9+F10+F11+F12+F13+F14+F15+F16+F17+F18+F19+F20</f>
        <v/>
      </c>
    </row>
    <row r="22">
      <c r="A22" s="37" t="inlineStr">
        <is>
          <t>Current Assets</t>
        </is>
      </c>
      <c r="B22" s="38" t="n"/>
      <c r="C22" s="38" t="n"/>
      <c r="D22" s="38" t="n"/>
      <c r="E22" s="38" t="n"/>
      <c r="F22" s="38" t="n"/>
    </row>
    <row r="23">
      <c r="A23" s="39" t="inlineStr">
        <is>
          <t>Inventories</t>
        </is>
      </c>
      <c r="B23" s="38" t="n">
        <v>5107.64</v>
      </c>
      <c r="C23" s="38" t="n">
        <v>4571.82</v>
      </c>
      <c r="D23" s="38" t="n">
        <v>4419.63</v>
      </c>
      <c r="E23" s="38" t="n">
        <v>3942.88</v>
      </c>
      <c r="F23" s="38" t="n">
        <v>4231.52</v>
      </c>
    </row>
    <row r="24">
      <c r="A24" s="39" t="inlineStr">
        <is>
          <t>Investments (Current)</t>
        </is>
      </c>
      <c r="B24" s="38" t="n">
        <v>1356.12</v>
      </c>
      <c r="C24" s="38" t="n">
        <v>1302.42</v>
      </c>
      <c r="D24" s="38" t="n">
        <v>1477.89</v>
      </c>
      <c r="E24" s="38" t="n">
        <v>1149.6</v>
      </c>
      <c r="F24" s="38" t="n">
        <v>410.52</v>
      </c>
    </row>
    <row r="25">
      <c r="A25" s="39" t="inlineStr">
        <is>
          <t>Trade Receivables (Current)</t>
        </is>
      </c>
      <c r="B25" s="38" t="n">
        <v>4423.96</v>
      </c>
      <c r="C25" s="38" t="n">
        <v>5709.78</v>
      </c>
      <c r="D25" s="38" t="n">
        <v>7401.69</v>
      </c>
      <c r="E25" s="38" t="n">
        <v>6952.15</v>
      </c>
      <c r="F25" s="38" t="n">
        <v>5979.74</v>
      </c>
    </row>
    <row r="26">
      <c r="A26" s="39" t="inlineStr">
        <is>
          <t>Unbilled Revenue</t>
        </is>
      </c>
      <c r="B26" s="38" t="n">
        <v>2842.63</v>
      </c>
      <c r="C26" s="38" t="n">
        <v>2737.06</v>
      </c>
      <c r="D26" s="38" t="n">
        <v>2552.23</v>
      </c>
      <c r="E26" s="38" t="n">
        <v>2456.71</v>
      </c>
      <c r="F26" s="38" t="n">
        <v>2285.57</v>
      </c>
    </row>
    <row r="27">
      <c r="A27" s="39" t="inlineStr">
        <is>
          <t>Cash and Cash Equivalents</t>
        </is>
      </c>
      <c r="B27" s="38" t="n">
        <v>4409.67</v>
      </c>
      <c r="C27" s="38" t="n">
        <v>4862.47</v>
      </c>
      <c r="D27" s="38" t="n">
        <v>3324.34</v>
      </c>
      <c r="E27" s="38" t="n">
        <v>4189.76</v>
      </c>
      <c r="F27" s="38" t="n">
        <v>3077.24</v>
      </c>
    </row>
    <row r="28">
      <c r="A28" s="39" t="inlineStr">
        <is>
          <t>Bank Balances other than above</t>
        </is>
      </c>
      <c r="B28" s="38" t="n">
        <v>9234.33</v>
      </c>
      <c r="C28" s="38" t="n">
        <v>6888.51</v>
      </c>
      <c r="D28" s="38" t="n">
        <v>5827.57</v>
      </c>
      <c r="E28" s="38" t="n">
        <v>7016.77</v>
      </c>
      <c r="F28" s="38" t="n">
        <v>3563.46</v>
      </c>
    </row>
    <row r="29">
      <c r="A29" s="39" t="inlineStr">
        <is>
          <t>Loans (Current)</t>
        </is>
      </c>
      <c r="B29" s="38" t="n">
        <v>19.8</v>
      </c>
      <c r="C29" s="38" t="n">
        <v>12.34</v>
      </c>
      <c r="D29" s="38" t="n">
        <v>11.14</v>
      </c>
      <c r="E29" s="38" t="n">
        <v>11.55</v>
      </c>
      <c r="F29" s="38" t="n">
        <v>9.34</v>
      </c>
    </row>
    <row r="30">
      <c r="A30" s="39" t="inlineStr">
        <is>
          <t>Finance Lease Receivables (Current)</t>
        </is>
      </c>
      <c r="B30" s="38" t="n">
        <v>86.65000000000001</v>
      </c>
      <c r="C30" s="38" t="n">
        <v>74.47</v>
      </c>
      <c r="D30" s="38" t="n">
        <v>65.92</v>
      </c>
      <c r="E30" s="38" t="n">
        <v>54.5</v>
      </c>
      <c r="F30" s="38" t="n">
        <v>46.91</v>
      </c>
    </row>
    <row r="31">
      <c r="A31" s="39" t="inlineStr">
        <is>
          <t>Other Financial Assets (Current)</t>
        </is>
      </c>
      <c r="B31" s="38" t="n">
        <v>1316.67</v>
      </c>
      <c r="C31" s="38" t="n">
        <v>656.48</v>
      </c>
      <c r="D31" s="38" t="n">
        <v>471.48</v>
      </c>
      <c r="E31" s="38" t="n">
        <v>688.3</v>
      </c>
      <c r="F31" s="38" t="n">
        <v>501.45</v>
      </c>
    </row>
    <row r="32">
      <c r="A32" s="39" t="inlineStr">
        <is>
          <t>Current Tax Assets (Net)</t>
        </is>
      </c>
      <c r="B32" s="38" t="n">
        <v>0</v>
      </c>
      <c r="C32" s="38" t="n">
        <v>0</v>
      </c>
      <c r="D32" s="38" t="n">
        <v>8.199999999999999</v>
      </c>
      <c r="E32" s="38" t="n">
        <v>0.6899999999999999</v>
      </c>
      <c r="F32" s="38" t="n">
        <v>0.01</v>
      </c>
    </row>
    <row r="33">
      <c r="A33" s="39" t="inlineStr">
        <is>
          <t>Other Current Assets</t>
        </is>
      </c>
      <c r="B33" s="38" t="n">
        <v>1773.58</v>
      </c>
      <c r="C33" s="38" t="n">
        <v>1941.3</v>
      </c>
      <c r="D33" s="38" t="n">
        <v>1704.3</v>
      </c>
      <c r="E33" s="38" t="n">
        <v>1328.72</v>
      </c>
      <c r="F33" s="38" t="n">
        <v>1479.67</v>
      </c>
    </row>
    <row r="34">
      <c r="A34" s="15" t="inlineStr">
        <is>
          <t>Total Current Assets</t>
        </is>
      </c>
      <c r="B34" s="40">
        <f>B23+B24+B25+B26+B27+B28+B29+B30+B31+B32+B33</f>
        <v/>
      </c>
      <c r="C34" s="40">
        <f>C23+C24+C25+C26+C27+C28+C29+C30+C31+C32+C33</f>
        <v/>
      </c>
      <c r="D34" s="40">
        <f>D23+D24+D25+D26+D27+D28+D29+D30+D31+D32+D33</f>
        <v/>
      </c>
      <c r="E34" s="40">
        <f>E23+E24+E25+E26+E27+E28+E29+E30+E31+E32+E33</f>
        <v/>
      </c>
      <c r="F34" s="40">
        <f>F23+F24+F25+F26+F27+F28+F29+F30+F31+F32+F33</f>
        <v/>
      </c>
    </row>
    <row r="35">
      <c r="A35" s="39" t="inlineStr">
        <is>
          <t>Assets Classified as Held For Sale</t>
        </is>
      </c>
      <c r="B35" s="38" t="n">
        <v>1153.75</v>
      </c>
      <c r="C35" s="38" t="n">
        <v>1145.21</v>
      </c>
      <c r="D35" s="38" t="n">
        <v>1200.99</v>
      </c>
      <c r="E35" s="38" t="n">
        <v>3299.94</v>
      </c>
      <c r="F35" s="38" t="n">
        <v>3046.83</v>
      </c>
    </row>
    <row r="36">
      <c r="A36" s="15" t="inlineStr">
        <is>
          <t>Total Assets before Regulatory Deferral Account</t>
        </is>
      </c>
      <c r="B36" s="40">
        <f>B21+B34+B35</f>
        <v/>
      </c>
      <c r="C36" s="40">
        <f>C21+C34+C35</f>
        <v/>
      </c>
      <c r="D36" s="40">
        <f>D21+D34+D35</f>
        <v/>
      </c>
      <c r="E36" s="40">
        <f>E21+E34+E35</f>
        <v/>
      </c>
      <c r="F36" s="40">
        <f>F21+F34+F35</f>
        <v/>
      </c>
    </row>
    <row r="37">
      <c r="A37" s="39" t="inlineStr">
        <is>
          <t>Regulatory Deferral Account — Assets</t>
        </is>
      </c>
      <c r="B37" s="38" t="n">
        <v>8139.45</v>
      </c>
      <c r="C37" s="38" t="n">
        <v>7163.61</v>
      </c>
      <c r="D37" s="38" t="n">
        <v>8298.66</v>
      </c>
      <c r="E37" s="38" t="n">
        <v>8433.43</v>
      </c>
      <c r="F37" s="38" t="n">
        <v>6810.57</v>
      </c>
    </row>
    <row r="38">
      <c r="A38" s="15" t="inlineStr">
        <is>
          <t>TOTAL ASSETS</t>
        </is>
      </c>
      <c r="B38" s="40">
        <f>B36+B37</f>
        <v/>
      </c>
      <c r="C38" s="40">
        <f>C36+C37</f>
        <v/>
      </c>
      <c r="D38" s="40">
        <f>D36+D37</f>
        <v/>
      </c>
      <c r="E38" s="40">
        <f>E36+E37</f>
        <v/>
      </c>
      <c r="F38" s="40">
        <f>F36+F37</f>
        <v/>
      </c>
    </row>
    <row r="39">
      <c r="A39" s="37" t="inlineStr">
        <is>
          <t>EQUITY AND LIABILITIES</t>
        </is>
      </c>
      <c r="B39" s="38" t="n"/>
      <c r="C39" s="38" t="n"/>
      <c r="D39" s="38" t="n"/>
      <c r="E39" s="38" t="n"/>
      <c r="F39" s="38" t="n"/>
    </row>
    <row r="40">
      <c r="A40" s="39" t="inlineStr">
        <is>
          <t>Equity Share Capital</t>
        </is>
      </c>
      <c r="B40" s="38" t="n">
        <v>319.56</v>
      </c>
      <c r="C40" s="38" t="n">
        <v>319.56</v>
      </c>
      <c r="D40" s="38" t="n">
        <v>319.56</v>
      </c>
      <c r="E40" s="38" t="n">
        <v>319.56</v>
      </c>
      <c r="F40" s="38" t="n">
        <v>319.56</v>
      </c>
    </row>
    <row r="41">
      <c r="A41" s="39" t="inlineStr">
        <is>
          <t>Other Equity</t>
        </is>
      </c>
      <c r="B41" s="38" t="n">
        <v>39147.65</v>
      </c>
      <c r="C41" s="38" t="n">
        <v>35521.11</v>
      </c>
      <c r="D41" s="38" t="n">
        <v>32035.73</v>
      </c>
      <c r="E41" s="38" t="n">
        <v>28467.87</v>
      </c>
      <c r="F41" s="38" t="n">
        <v>22122</v>
      </c>
    </row>
    <row r="42">
      <c r="A42" s="15" t="inlineStr">
        <is>
          <t>Equity attributable to Shareholders of Parent</t>
        </is>
      </c>
      <c r="B42" s="40">
        <f>B40+B41</f>
        <v/>
      </c>
      <c r="C42" s="40">
        <f>C40+C41</f>
        <v/>
      </c>
      <c r="D42" s="40">
        <f>D40+D41</f>
        <v/>
      </c>
      <c r="E42" s="40">
        <f>E40+E41</f>
        <v/>
      </c>
      <c r="F42" s="40">
        <f>F40+F41</f>
        <v/>
      </c>
    </row>
    <row r="43">
      <c r="A43" s="39" t="inlineStr">
        <is>
          <t>Non-controlling Interests</t>
        </is>
      </c>
      <c r="B43" s="38" t="n">
        <v>8070.86</v>
      </c>
      <c r="C43" s="38" t="n">
        <v>6765.37</v>
      </c>
      <c r="D43" s="38" t="n">
        <v>5977.48</v>
      </c>
      <c r="E43" s="38" t="n">
        <v>5416.69</v>
      </c>
      <c r="F43" s="38" t="n">
        <v>3586.9</v>
      </c>
    </row>
    <row r="44">
      <c r="A44" s="15" t="inlineStr">
        <is>
          <t>Total Equity</t>
        </is>
      </c>
      <c r="B44" s="40">
        <f>B42+B43</f>
        <v/>
      </c>
      <c r="C44" s="40">
        <f>C42+C43</f>
        <v/>
      </c>
      <c r="D44" s="40">
        <f>D42+D43</f>
        <v/>
      </c>
      <c r="E44" s="40">
        <f>E42+E43</f>
        <v/>
      </c>
      <c r="F44" s="40">
        <f>F42+F43</f>
        <v/>
      </c>
    </row>
    <row r="45">
      <c r="A45" s="37" t="inlineStr">
        <is>
          <t>Non-current Liabilities</t>
        </is>
      </c>
      <c r="B45" s="38" t="n"/>
      <c r="C45" s="38" t="n"/>
      <c r="D45" s="38" t="n"/>
      <c r="E45" s="38" t="n"/>
      <c r="F45" s="38" t="n"/>
    </row>
    <row r="46">
      <c r="A46" s="39" t="inlineStr">
        <is>
          <t>Borrowings (Non-current)</t>
        </is>
      </c>
      <c r="B46" s="38" t="n">
        <v>61608.57</v>
      </c>
      <c r="C46" s="38" t="n">
        <v>44129.72</v>
      </c>
      <c r="D46" s="38" t="n">
        <v>37392.25</v>
      </c>
      <c r="E46" s="38" t="n">
        <v>30708.49</v>
      </c>
      <c r="F46" s="38" t="n">
        <v>32729.7</v>
      </c>
    </row>
    <row r="47">
      <c r="A47" s="39" t="inlineStr">
        <is>
          <t>Lease Liabilities (Non-current)</t>
        </is>
      </c>
      <c r="B47" s="38" t="n">
        <v>4549.94</v>
      </c>
      <c r="C47" s="38" t="n">
        <v>4196.21</v>
      </c>
      <c r="D47" s="38" t="n">
        <v>3742.48</v>
      </c>
      <c r="E47" s="38" t="n">
        <v>3510.7</v>
      </c>
      <c r="F47" s="38" t="n">
        <v>3207.79</v>
      </c>
    </row>
    <row r="48">
      <c r="A48" s="39" t="inlineStr">
        <is>
          <t>Trade Payables (Non-current)</t>
        </is>
      </c>
      <c r="B48" s="38" t="n"/>
      <c r="C48" s="38" t="n"/>
      <c r="D48" s="38" t="n"/>
      <c r="E48" s="38" t="n"/>
      <c r="F48" s="38" t="n">
        <v>0</v>
      </c>
    </row>
    <row r="49">
      <c r="A49" s="39" t="inlineStr">
        <is>
          <t>Other Financial Liabilities (Non-current)</t>
        </is>
      </c>
      <c r="B49" s="38" t="n">
        <v>694.64</v>
      </c>
      <c r="C49" s="38" t="n">
        <v>674.12</v>
      </c>
      <c r="D49" s="38" t="n">
        <v>1507.55</v>
      </c>
      <c r="E49" s="38" t="n">
        <v>1410.4</v>
      </c>
      <c r="F49" s="38" t="n">
        <v>1156.56</v>
      </c>
    </row>
    <row r="50">
      <c r="A50" s="39" t="inlineStr">
        <is>
          <t>Non-current Tax Liabilities (Net)</t>
        </is>
      </c>
      <c r="B50" s="38" t="n"/>
      <c r="C50" s="38" t="n"/>
      <c r="D50" s="38" t="n"/>
      <c r="E50" s="38" t="n"/>
      <c r="F50" s="38" t="n">
        <v>3.03</v>
      </c>
    </row>
    <row r="51">
      <c r="A51" s="39" t="inlineStr">
        <is>
          <t>Provisions (Non-current)</t>
        </is>
      </c>
      <c r="B51" s="38" t="n">
        <v>3213.85</v>
      </c>
      <c r="C51" s="38" t="n">
        <v>2548.69</v>
      </c>
      <c r="D51" s="38" t="n">
        <v>1865.08</v>
      </c>
      <c r="E51" s="38" t="n">
        <v>1420.02</v>
      </c>
      <c r="F51" s="38" t="n">
        <v>1218.18</v>
      </c>
    </row>
    <row r="52">
      <c r="A52" s="39" t="inlineStr">
        <is>
          <t>Deferred Tax Liabilities (Net)</t>
        </is>
      </c>
      <c r="B52" s="38" t="n">
        <v>4807.88</v>
      </c>
      <c r="C52" s="38" t="n">
        <v>4104.12</v>
      </c>
      <c r="D52" s="38" t="n">
        <v>2772.33</v>
      </c>
      <c r="E52" s="38" t="n">
        <v>1919.37</v>
      </c>
      <c r="F52" s="38" t="n">
        <v>1033.3</v>
      </c>
    </row>
    <row r="53">
      <c r="A53" s="39" t="inlineStr">
        <is>
          <t>Other Non-current Liabilities</t>
        </is>
      </c>
      <c r="B53" s="38" t="n">
        <v>13411.97</v>
      </c>
      <c r="C53" s="38" t="n">
        <v>12930.57</v>
      </c>
      <c r="D53" s="38" t="n">
        <v>11973.08</v>
      </c>
      <c r="E53" s="38" t="n">
        <v>9847.82</v>
      </c>
      <c r="F53" s="38" t="n">
        <v>8139.29</v>
      </c>
    </row>
    <row r="54">
      <c r="A54" s="15" t="inlineStr">
        <is>
          <t>Total Non-current Liabilities</t>
        </is>
      </c>
      <c r="B54" s="40">
        <f>B46+B47+B48+B49+B50+B51+B52+B53</f>
        <v/>
      </c>
      <c r="C54" s="40">
        <f>C46+C47+C48+C49+C50+C51+C52+C53</f>
        <v/>
      </c>
      <c r="D54" s="40">
        <f>D46+D47+D48+D49+D50+D51+D52+D53</f>
        <v/>
      </c>
      <c r="E54" s="40">
        <f>E46+E47+E48+E49+E50+E51+E52+E53</f>
        <v/>
      </c>
      <c r="F54" s="40">
        <f>F46+F47+F48+F49+F50+F51+F52+F53</f>
        <v/>
      </c>
    </row>
    <row r="55">
      <c r="A55" s="37" t="inlineStr">
        <is>
          <t>Current Liabilities</t>
        </is>
      </c>
      <c r="B55" s="38" t="n"/>
      <c r="C55" s="38" t="n"/>
      <c r="D55" s="38" t="n"/>
      <c r="E55" s="38" t="n"/>
      <c r="F55" s="38" t="n"/>
    </row>
    <row r="56">
      <c r="A56" s="39" t="inlineStr">
        <is>
          <t>Borrowings (Current)</t>
        </is>
      </c>
      <c r="B56" s="38" t="n">
        <v>9513.82</v>
      </c>
      <c r="C56" s="38" t="n">
        <v>14015.84</v>
      </c>
      <c r="D56" s="38" t="n">
        <v>12087.56</v>
      </c>
      <c r="E56" s="38" t="n">
        <v>18265.94</v>
      </c>
      <c r="F56" s="38" t="n">
        <v>14860.3</v>
      </c>
    </row>
    <row r="57">
      <c r="A57" s="39" t="inlineStr">
        <is>
          <t>Lease Liabilities (Current)</t>
        </is>
      </c>
      <c r="B57" s="38" t="n">
        <v>468.94</v>
      </c>
      <c r="C57" s="38" t="n">
        <v>524.03</v>
      </c>
      <c r="D57" s="38" t="n">
        <v>467.16</v>
      </c>
      <c r="E57" s="38" t="n">
        <v>437.87</v>
      </c>
      <c r="F57" s="38" t="n">
        <v>397.33</v>
      </c>
    </row>
    <row r="58">
      <c r="A58" s="39" t="inlineStr">
        <is>
          <t>Acceptances (Current)</t>
        </is>
      </c>
      <c r="B58" s="38" t="n">
        <v>3647.97</v>
      </c>
      <c r="C58" s="38" t="n">
        <v>5129.93</v>
      </c>
      <c r="D58" s="38" t="n"/>
      <c r="E58" s="38" t="n"/>
      <c r="F58" s="38" t="n"/>
    </row>
    <row r="59">
      <c r="A59" s="39" t="inlineStr">
        <is>
          <t>Trade Payables — micro/small enterprises</t>
        </is>
      </c>
      <c r="B59" s="38" t="n">
        <v>809.84</v>
      </c>
      <c r="C59" s="38" t="n">
        <v>784.21</v>
      </c>
      <c r="D59" s="38" t="n">
        <v>870</v>
      </c>
      <c r="E59" s="38" t="n">
        <v>537.6</v>
      </c>
      <c r="F59" s="38" t="n"/>
    </row>
    <row r="60">
      <c r="A60" s="39" t="inlineStr">
        <is>
          <t>Trade Payables — other creditors / total</t>
        </is>
      </c>
      <c r="B60" s="38" t="n">
        <v>6328.39</v>
      </c>
      <c r="C60" s="38" t="n">
        <v>8070.34</v>
      </c>
      <c r="D60" s="38" t="n">
        <v>8451.370000000001</v>
      </c>
      <c r="E60" s="38" t="n">
        <v>6869.6</v>
      </c>
      <c r="F60" s="38" t="n">
        <v>10459.6</v>
      </c>
    </row>
    <row r="61">
      <c r="A61" s="39" t="inlineStr">
        <is>
          <t>Other Financial Liabilities (Current)</t>
        </is>
      </c>
      <c r="B61" s="38" t="n">
        <v>13897.6</v>
      </c>
      <c r="C61" s="38" t="n">
        <v>12427.03</v>
      </c>
      <c r="D61" s="38" t="n">
        <v>14796.16</v>
      </c>
      <c r="E61" s="38" t="n">
        <v>13150.77</v>
      </c>
      <c r="F61" s="38" t="n">
        <v>9631.959999999999</v>
      </c>
    </row>
    <row r="62">
      <c r="A62" s="39" t="inlineStr">
        <is>
          <t>Provisions (Current)</t>
        </is>
      </c>
      <c r="B62" s="38" t="n">
        <v>680.4400000000001</v>
      </c>
      <c r="C62" s="38" t="n">
        <v>437.56</v>
      </c>
      <c r="D62" s="38" t="n">
        <v>294.34</v>
      </c>
      <c r="E62" s="38" t="n">
        <v>311.07</v>
      </c>
      <c r="F62" s="38" t="n">
        <v>344.82</v>
      </c>
    </row>
    <row r="63">
      <c r="A63" s="39" t="inlineStr">
        <is>
          <t>Current Tax Liabilities (Net)</t>
        </is>
      </c>
      <c r="B63" s="38" t="n">
        <v>185.42</v>
      </c>
      <c r="C63" s="38" t="n">
        <v>208.2</v>
      </c>
      <c r="D63" s="38" t="n">
        <v>291.54</v>
      </c>
      <c r="E63" s="38" t="n">
        <v>217.96</v>
      </c>
      <c r="F63" s="38" t="n">
        <v>147</v>
      </c>
    </row>
    <row r="64">
      <c r="A64" s="39" t="inlineStr">
        <is>
          <t>Other Current Liabilities</t>
        </is>
      </c>
      <c r="B64" s="38" t="n">
        <v>3691.15</v>
      </c>
      <c r="C64" s="38" t="n">
        <v>3672.38</v>
      </c>
      <c r="D64" s="38" t="n">
        <v>3879.84</v>
      </c>
      <c r="E64" s="38" t="n">
        <v>4188.41</v>
      </c>
      <c r="F64" s="38" t="n">
        <v>2779.08</v>
      </c>
    </row>
    <row r="65">
      <c r="A65" s="15" t="inlineStr">
        <is>
          <t>Total Current Liabilities</t>
        </is>
      </c>
      <c r="B65" s="40">
        <f>B56+B57+B58+B59+B60+B61+B62+B63+B64</f>
        <v/>
      </c>
      <c r="C65" s="40">
        <f>C56+C57+C58+C59+C60+C61+C62+C63+C64</f>
        <v/>
      </c>
      <c r="D65" s="40">
        <f>D56+D57+D58+D59+D60+D61+D62+D63+D64</f>
        <v/>
      </c>
      <c r="E65" s="40">
        <f>E56+E57+E58+E59+E60+E61+E62+E63+E64</f>
        <v/>
      </c>
      <c r="F65" s="40">
        <f>F56+F57+F58+F59+F60+F61+F62+F63+F64</f>
        <v/>
      </c>
    </row>
    <row r="66">
      <c r="A66" s="39" t="inlineStr">
        <is>
          <t>Liabilities re: Assets Held For Sale</t>
        </is>
      </c>
      <c r="B66" s="38" t="n">
        <v>114.24</v>
      </c>
      <c r="C66" s="38" t="n">
        <v>113.56</v>
      </c>
      <c r="D66" s="38" t="n">
        <v>113.56</v>
      </c>
      <c r="E66" s="38" t="n">
        <v>113.56</v>
      </c>
      <c r="F66" s="38" t="n">
        <v>113.56</v>
      </c>
    </row>
    <row r="67">
      <c r="A67" s="39" t="inlineStr">
        <is>
          <t>Regulatory Deferral Account — Liability</t>
        </is>
      </c>
      <c r="B67" s="38" t="n">
        <v>9.050000000000001</v>
      </c>
      <c r="C67" s="38" t="n">
        <v>138.74</v>
      </c>
      <c r="D67" s="38" t="n">
        <v>716.42</v>
      </c>
      <c r="E67" s="38" t="n">
        <v>1235.34</v>
      </c>
      <c r="F67" s="38" t="n">
        <v>634.63</v>
      </c>
    </row>
    <row r="68">
      <c r="A68" s="15" t="inlineStr">
        <is>
          <t>TOTAL EQUITY AND LIABILITIES</t>
        </is>
      </c>
      <c r="B68" s="40">
        <f>B44+B54+B65+B66+B67</f>
        <v/>
      </c>
      <c r="C68" s="40">
        <f>C44+C54+C65+C66+C67</f>
        <v/>
      </c>
      <c r="D68" s="40">
        <f>D44+D54+D65+D66+D67</f>
        <v/>
      </c>
      <c r="E68" s="40">
        <f>E44+E54+E65+E66+E67</f>
        <v/>
      </c>
      <c r="F68" s="40">
        <f>F44+F54+F65+F66+F67</f>
        <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34" t="inlineStr">
        <is>
          <t>Sources: Tata Power Integrated Annual Reports FY21-22, FY23-24 and FY25-26 — 'Consolidated Statement of Profit and Loss' for each year ended. GREEN 'Total'/'Profit' cells are LIVE FORMULAS.</t>
        </is>
      </c>
    </row>
    <row r="4">
      <c r="A4" s="35" t="inlineStr">
        <is>
          <t>Particulars (₹ crore)</t>
        </is>
      </c>
      <c r="B4" s="36" t="inlineStr">
        <is>
          <t>FY 2025-26</t>
        </is>
      </c>
      <c r="C4" s="36" t="inlineStr">
        <is>
          <t>FY 2024-25</t>
        </is>
      </c>
      <c r="D4" s="36" t="inlineStr">
        <is>
          <t>FY 2023-24</t>
        </is>
      </c>
      <c r="E4" s="36" t="inlineStr">
        <is>
          <t>FY 2022-23</t>
        </is>
      </c>
      <c r="F4" s="36" t="inlineStr">
        <is>
          <t>FY 2021-22</t>
        </is>
      </c>
    </row>
    <row r="5">
      <c r="A5" s="39" t="inlineStr">
        <is>
          <t>Revenue from Operations</t>
        </is>
      </c>
      <c r="B5" s="38" t="n">
        <v>62428.59</v>
      </c>
      <c r="C5" s="38" t="n">
        <v>65478.24</v>
      </c>
      <c r="D5" s="38" t="n">
        <v>61448.9</v>
      </c>
      <c r="E5" s="38" t="n">
        <v>55109.08</v>
      </c>
      <c r="F5" s="38" t="n">
        <v>42815.67</v>
      </c>
    </row>
    <row r="6">
      <c r="A6" s="39" t="inlineStr">
        <is>
          <t>Other Income</t>
        </is>
      </c>
      <c r="B6" s="38" t="n">
        <v>1743.07</v>
      </c>
      <c r="C6" s="38" t="n">
        <v>1513.93</v>
      </c>
      <c r="D6" s="38" t="n">
        <v>1823.42</v>
      </c>
      <c r="E6" s="38" t="n">
        <v>1438.02</v>
      </c>
      <c r="F6" s="38" t="n">
        <v>919.96</v>
      </c>
    </row>
    <row r="7">
      <c r="A7" s="15" t="inlineStr">
        <is>
          <t>Total Income</t>
        </is>
      </c>
      <c r="B7" s="40">
        <f>B5+B6</f>
        <v/>
      </c>
      <c r="C7" s="40">
        <f>C5+C6</f>
        <v/>
      </c>
      <c r="D7" s="40">
        <f>D5+D6</f>
        <v/>
      </c>
      <c r="E7" s="40">
        <f>E5+E6</f>
        <v/>
      </c>
      <c r="F7" s="40">
        <f>F5+F6</f>
        <v/>
      </c>
    </row>
    <row r="8">
      <c r="A8" s="37" t="inlineStr">
        <is>
          <t>Expenses</t>
        </is>
      </c>
      <c r="B8" s="38" t="n"/>
      <c r="C8" s="38" t="n"/>
      <c r="D8" s="38" t="n"/>
      <c r="E8" s="38" t="n"/>
      <c r="F8" s="38" t="n"/>
    </row>
    <row r="9">
      <c r="A9" s="39" t="inlineStr">
        <is>
          <t>Cost of Power Purchased</t>
        </is>
      </c>
      <c r="B9" s="38" t="n">
        <v>19647.25</v>
      </c>
      <c r="C9" s="38" t="n">
        <v>20523.61</v>
      </c>
      <c r="D9" s="38" t="n">
        <v>20014.46</v>
      </c>
      <c r="E9" s="38" t="n">
        <v>19062.67</v>
      </c>
      <c r="F9" s="38" t="n">
        <v>14640.62</v>
      </c>
    </row>
    <row r="10">
      <c r="A10" s="39" t="inlineStr">
        <is>
          <t>Cost of Fuel</t>
        </is>
      </c>
      <c r="B10" s="38" t="n">
        <v>7498.39</v>
      </c>
      <c r="C10" s="38" t="n">
        <v>13918.47</v>
      </c>
      <c r="D10" s="38" t="n">
        <v>14130.47</v>
      </c>
      <c r="E10" s="38" t="n">
        <v>13763.59</v>
      </c>
      <c r="F10" s="38" t="n">
        <v>8290.92</v>
      </c>
    </row>
    <row r="11">
      <c r="A11" s="39" t="inlineStr">
        <is>
          <t>Transmission Charges</t>
        </is>
      </c>
      <c r="B11" s="38" t="n">
        <v>1467.98</v>
      </c>
      <c r="C11" s="38" t="n">
        <v>1277.81</v>
      </c>
      <c r="D11" s="38" t="n">
        <v>1168.69</v>
      </c>
      <c r="E11" s="38" t="n">
        <v>1194.95</v>
      </c>
      <c r="F11" s="38" t="n">
        <v>1018.19</v>
      </c>
    </row>
    <row r="12">
      <c r="A12" s="39" t="inlineStr">
        <is>
          <t>Raw Material Consumed / Construction Cost</t>
        </is>
      </c>
      <c r="B12" s="38" t="n">
        <v>8618.4</v>
      </c>
      <c r="C12" s="38" t="n">
        <v>4921.46</v>
      </c>
      <c r="D12" s="38" t="n">
        <v>5439.86</v>
      </c>
      <c r="E12" s="38" t="n">
        <v>3882.3</v>
      </c>
      <c r="F12" s="38" t="n">
        <v>3832.83</v>
      </c>
    </row>
    <row r="13">
      <c r="A13" s="39" t="inlineStr">
        <is>
          <t>Purchase of Finished Goods and Spares</t>
        </is>
      </c>
      <c r="B13" s="38" t="n">
        <v>42.35</v>
      </c>
      <c r="C13" s="38" t="n">
        <v>31.84</v>
      </c>
      <c r="D13" s="38" t="n">
        <v>39.89</v>
      </c>
      <c r="E13" s="38" t="n">
        <v>56.15</v>
      </c>
      <c r="F13" s="38" t="n">
        <v>49.11</v>
      </c>
    </row>
    <row r="14">
      <c r="A14" s="39" t="inlineStr">
        <is>
          <t>(Increase)/Decrease in Stock-in-Trade &amp; WIP</t>
        </is>
      </c>
      <c r="B14" s="38" t="n">
        <v>-84.11</v>
      </c>
      <c r="C14" s="38" t="n">
        <v>-440.76</v>
      </c>
      <c r="D14" s="38" t="n">
        <v>-51.78</v>
      </c>
      <c r="E14" s="38" t="n">
        <v>43.53</v>
      </c>
      <c r="F14" s="38" t="n">
        <v>-199.22</v>
      </c>
    </row>
    <row r="15">
      <c r="A15" s="39" t="inlineStr">
        <is>
          <t>Employee Benefits Expense</t>
        </is>
      </c>
      <c r="B15" s="38" t="n">
        <v>4693.73</v>
      </c>
      <c r="C15" s="38" t="n">
        <v>4372.92</v>
      </c>
      <c r="D15" s="38" t="n">
        <v>4036.09</v>
      </c>
      <c r="E15" s="38" t="n">
        <v>3624.26</v>
      </c>
      <c r="F15" s="38" t="n">
        <v>3611.63</v>
      </c>
    </row>
    <row r="16">
      <c r="A16" s="39" t="inlineStr">
        <is>
          <t>Finance Costs</t>
        </is>
      </c>
      <c r="B16" s="38" t="n">
        <v>5256.79</v>
      </c>
      <c r="C16" s="38" t="n">
        <v>4702.44</v>
      </c>
      <c r="D16" s="38" t="n">
        <v>4633.22</v>
      </c>
      <c r="E16" s="38" t="n">
        <v>4371.65</v>
      </c>
      <c r="F16" s="38" t="n">
        <v>3859.02</v>
      </c>
    </row>
    <row r="17">
      <c r="A17" s="39" t="inlineStr">
        <is>
          <t>Depreciation and Amortisation Expense</t>
        </is>
      </c>
      <c r="B17" s="38" t="n">
        <v>4811.09</v>
      </c>
      <c r="C17" s="38" t="n">
        <v>4116.86</v>
      </c>
      <c r="D17" s="38" t="n">
        <v>3786.37</v>
      </c>
      <c r="E17" s="38" t="n">
        <v>3439.2</v>
      </c>
      <c r="F17" s="38" t="n">
        <v>3122.2</v>
      </c>
    </row>
    <row r="18">
      <c r="A18" s="39" t="inlineStr">
        <is>
          <t>Other Expenses</t>
        </is>
      </c>
      <c r="B18" s="38" t="n">
        <v>7449.54</v>
      </c>
      <c r="C18" s="38" t="n">
        <v>6943.02</v>
      </c>
      <c r="D18" s="38" t="n">
        <v>5887.39</v>
      </c>
      <c r="E18" s="38" t="n">
        <v>5775.31</v>
      </c>
      <c r="F18" s="38" t="n">
        <v>4060.42</v>
      </c>
    </row>
    <row r="19">
      <c r="A19" s="15" t="inlineStr">
        <is>
          <t>Total Expenses</t>
        </is>
      </c>
      <c r="B19" s="40">
        <f>B9+B10+B11+B12+B13+B14+B15+B16+B17+B18</f>
        <v/>
      </c>
      <c r="C19" s="40">
        <f>C9+C10+C11+C12+C13+C14+C15+C16+C17+C18</f>
        <v/>
      </c>
      <c r="D19" s="40">
        <f>D9+D10+D11+D12+D13+D14+D15+D16+D17+D18</f>
        <v/>
      </c>
      <c r="E19" s="40">
        <f>E9+E10+E11+E12+E13+E14+E15+E16+E17+E18</f>
        <v/>
      </c>
      <c r="F19" s="40">
        <f>F9+F10+F11+F12+F13+F14+F15+F16+F17+F18</f>
        <v/>
      </c>
    </row>
    <row r="20">
      <c r="A20" s="15" t="inlineStr">
        <is>
          <t>Profit before Regulatory Deferral, Exceptional Items &amp; Assoc./JV share</t>
        </is>
      </c>
      <c r="B20" s="40">
        <f>B7-B19</f>
        <v/>
      </c>
      <c r="C20" s="40">
        <f>C7-C19</f>
        <v/>
      </c>
      <c r="D20" s="40">
        <f>D7-D19</f>
        <v/>
      </c>
      <c r="E20" s="40">
        <f>E7-E19</f>
        <v/>
      </c>
      <c r="F20" s="40">
        <f>F7-F19</f>
        <v/>
      </c>
    </row>
    <row r="21">
      <c r="A21" s="39" t="inlineStr">
        <is>
          <t>Net Movement in Regulatory Deferral Balances (incl. earlier years, net tax)</t>
        </is>
      </c>
      <c r="B21" s="38" t="n">
        <v>1252.04</v>
      </c>
      <c r="C21" s="38" t="n">
        <v>-976.16</v>
      </c>
      <c r="D21" s="38" t="n">
        <v>93.43000000000001</v>
      </c>
      <c r="E21" s="38" t="n">
        <v>924.05</v>
      </c>
      <c r="F21" s="38" t="n">
        <v>-239.47</v>
      </c>
    </row>
    <row r="22">
      <c r="A22" s="15" t="inlineStr">
        <is>
          <t>Profit Before Exceptional Items, Tax &amp; Assoc./JV Share</t>
        </is>
      </c>
      <c r="B22" s="40">
        <f>B20+B21</f>
        <v/>
      </c>
      <c r="C22" s="40">
        <f>C20+C21</f>
        <v/>
      </c>
      <c r="D22" s="40">
        <f>D20+D21</f>
        <v/>
      </c>
      <c r="E22" s="40">
        <f>E20+E21</f>
        <v/>
      </c>
      <c r="F22" s="40">
        <f>F20+F21</f>
        <v/>
      </c>
    </row>
    <row r="23">
      <c r="A23" s="39" t="inlineStr">
        <is>
          <t>Share of Net Profit of Associates and JVs (Equity Method)</t>
        </is>
      </c>
      <c r="B23" s="38" t="n">
        <v>707.87</v>
      </c>
      <c r="C23" s="38" t="n">
        <v>793.33</v>
      </c>
      <c r="D23" s="38" t="n">
        <v>1177.57</v>
      </c>
      <c r="E23" s="38" t="n">
        <v>3199.46</v>
      </c>
      <c r="F23" s="38" t="n">
        <v>1942.83</v>
      </c>
    </row>
    <row r="24">
      <c r="A24" s="15" t="inlineStr">
        <is>
          <t>Profit Before Exceptional Items and Tax</t>
        </is>
      </c>
      <c r="B24" s="40">
        <f>B22+B23</f>
        <v/>
      </c>
      <c r="C24" s="40">
        <f>C22+C23</f>
        <v/>
      </c>
      <c r="D24" s="40">
        <f>D22+D23</f>
        <v/>
      </c>
      <c r="E24" s="40">
        <f>E22+E23</f>
        <v/>
      </c>
      <c r="F24" s="40">
        <f>F22+F23</f>
        <v/>
      </c>
    </row>
    <row r="25">
      <c r="A25" s="39" t="inlineStr">
        <is>
          <t>Exceptional Items (net)</t>
        </is>
      </c>
      <c r="B25" s="38" t="n">
        <v>-94.17</v>
      </c>
      <c r="C25" s="38" t="n">
        <v>-122.05</v>
      </c>
      <c r="D25" s="38" t="n">
        <v>273.36</v>
      </c>
      <c r="E25" s="38" t="n">
        <v>0</v>
      </c>
      <c r="F25" s="38" t="n">
        <v>-150.27</v>
      </c>
    </row>
    <row r="26">
      <c r="A26" s="15" t="inlineStr">
        <is>
          <t>Profit Before Tax</t>
        </is>
      </c>
      <c r="B26" s="40">
        <f>B24+B25</f>
        <v/>
      </c>
      <c r="C26" s="40">
        <f>C24+C25</f>
        <v/>
      </c>
      <c r="D26" s="40">
        <f>D24+D25</f>
        <v/>
      </c>
      <c r="E26" s="40">
        <f>E24+E25</f>
        <v/>
      </c>
      <c r="F26" s="40">
        <f>F24+F25</f>
        <v/>
      </c>
    </row>
    <row r="27">
      <c r="A27" s="39" t="inlineStr">
        <is>
          <t>Total Tax Expense/(Credit)</t>
        </is>
      </c>
      <c r="B27" s="38" t="n">
        <v>1518.43</v>
      </c>
      <c r="C27" s="38" t="n">
        <v>1544.25</v>
      </c>
      <c r="D27" s="38" t="n">
        <v>1451.92</v>
      </c>
      <c r="E27" s="38" t="n">
        <v>1647.33</v>
      </c>
      <c r="F27" s="38" t="n">
        <v>379.56</v>
      </c>
    </row>
    <row r="28">
      <c r="A28" s="15" t="inlineStr">
        <is>
          <t>Profit for the Year (PAT, consolidated)</t>
        </is>
      </c>
      <c r="B28" s="40">
        <f>B26-B27</f>
        <v/>
      </c>
      <c r="C28" s="40">
        <f>C26-C27</f>
        <v/>
      </c>
      <c r="D28" s="40">
        <f>D26-D27</f>
        <v/>
      </c>
      <c r="E28" s="40">
        <f>E26-E27</f>
        <v/>
      </c>
      <c r="F28" s="40">
        <f>F26-F27</f>
        <v/>
      </c>
    </row>
  </sheetData>
  <mergeCells count="2">
    <mergeCell ref="A2:F2"/>
    <mergeCell ref="A1:F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34" t="inlineStr">
        <is>
          <t>Sources: Torrent Power Integrated Annual Reports FY21-22 (AR_20392) through FY25-26 (AR_29704) — 'Consolidated Balance Sheet' as at each year-end. GREEN 'Total' cells are LIVE FORMULAS summing the line items above them.</t>
        </is>
      </c>
    </row>
    <row r="4">
      <c r="A4" s="35" t="inlineStr">
        <is>
          <t>Particulars (₹ crore)</t>
        </is>
      </c>
      <c r="B4" s="36" t="inlineStr">
        <is>
          <t>Mar-2026</t>
        </is>
      </c>
      <c r="C4" s="36" t="inlineStr">
        <is>
          <t>Mar-2025</t>
        </is>
      </c>
      <c r="D4" s="36" t="inlineStr">
        <is>
          <t>Mar-2024</t>
        </is>
      </c>
      <c r="E4" s="36" t="inlineStr">
        <is>
          <t>Mar-2023</t>
        </is>
      </c>
      <c r="F4" s="36" t="inlineStr">
        <is>
          <t>Mar-2022</t>
        </is>
      </c>
      <c r="G4" s="36" t="inlineStr">
        <is>
          <t>Mar-2021</t>
        </is>
      </c>
    </row>
    <row r="5">
      <c r="A5" s="37" t="inlineStr">
        <is>
          <t>Non-current Assets</t>
        </is>
      </c>
      <c r="B5" s="38" t="n"/>
      <c r="C5" s="38" t="n"/>
      <c r="D5" s="38" t="n"/>
      <c r="E5" s="38" t="n"/>
      <c r="F5" s="38" t="n"/>
      <c r="G5" s="38" t="n"/>
    </row>
    <row r="6">
      <c r="A6" s="39" t="inlineStr">
        <is>
          <t>Property, Plant and Equipment</t>
        </is>
      </c>
      <c r="B6" s="38" t="n">
        <v>24200.83</v>
      </c>
      <c r="C6" s="38" t="n">
        <v>23028.29</v>
      </c>
      <c r="D6" s="38" t="n">
        <v>20653.68</v>
      </c>
      <c r="E6" s="38" t="n">
        <v>18115.94</v>
      </c>
      <c r="F6" s="38" t="n">
        <v>16759.39</v>
      </c>
      <c r="G6" s="38" t="n">
        <v>17129.25</v>
      </c>
    </row>
    <row r="7">
      <c r="A7" s="39" t="inlineStr">
        <is>
          <t>Right-of-use Assets</t>
        </is>
      </c>
      <c r="B7" s="38" t="n">
        <v>585.35</v>
      </c>
      <c r="C7" s="38" t="n">
        <v>398.86</v>
      </c>
      <c r="D7" s="38" t="n">
        <v>259.07</v>
      </c>
      <c r="E7" s="38" t="n">
        <v>216.46</v>
      </c>
      <c r="F7" s="38" t="n">
        <v>214.6</v>
      </c>
      <c r="G7" s="38" t="n">
        <v>178.35</v>
      </c>
    </row>
    <row r="8">
      <c r="A8" s="39" t="inlineStr">
        <is>
          <t>Capital Work-in-Progress</t>
        </is>
      </c>
      <c r="B8" s="38" t="n">
        <v>6961.53</v>
      </c>
      <c r="C8" s="38" t="n">
        <v>2249.81</v>
      </c>
      <c r="D8" s="38" t="n">
        <v>2472.36</v>
      </c>
      <c r="E8" s="38" t="n">
        <v>2624.69</v>
      </c>
      <c r="F8" s="38" t="n">
        <v>1297.27</v>
      </c>
      <c r="G8" s="38" t="n">
        <v>837.73</v>
      </c>
    </row>
    <row r="9">
      <c r="A9" s="39" t="inlineStr">
        <is>
          <t>Investment Property</t>
        </is>
      </c>
      <c r="B9" s="38" t="n">
        <v>0.37</v>
      </c>
      <c r="C9" s="38" t="n">
        <v>0.37</v>
      </c>
      <c r="D9" s="38" t="n">
        <v>0</v>
      </c>
      <c r="E9" s="38" t="n">
        <v>9.390000000000001</v>
      </c>
      <c r="F9" s="38" t="n"/>
      <c r="G9" s="38" t="n"/>
    </row>
    <row r="10">
      <c r="A10" s="39" t="inlineStr">
        <is>
          <t>Goodwill</t>
        </is>
      </c>
      <c r="B10" s="38" t="n">
        <v>171.07</v>
      </c>
      <c r="C10" s="38" t="n">
        <v>171.07</v>
      </c>
      <c r="D10" s="38" t="n">
        <v>171.07</v>
      </c>
      <c r="E10" s="38" t="n">
        <v>171.07</v>
      </c>
      <c r="F10" s="38" t="n"/>
      <c r="G10" s="38" t="n"/>
    </row>
    <row r="11">
      <c r="A11" s="39" t="inlineStr">
        <is>
          <t>Other Intangible Assets</t>
        </is>
      </c>
      <c r="B11" s="38" t="n">
        <v>653.66</v>
      </c>
      <c r="C11" s="38" t="n">
        <v>687.46</v>
      </c>
      <c r="D11" s="38" t="n">
        <v>718.46</v>
      </c>
      <c r="E11" s="38" t="n">
        <v>756.33</v>
      </c>
      <c r="F11" s="38" t="n">
        <v>123.29</v>
      </c>
      <c r="G11" s="38" t="n">
        <v>18.44</v>
      </c>
    </row>
    <row r="12">
      <c r="A12" s="39" t="inlineStr">
        <is>
          <t>Intangible Assets Under Development</t>
        </is>
      </c>
      <c r="B12" s="38" t="n">
        <v>3.25</v>
      </c>
      <c r="C12" s="38" t="n"/>
      <c r="D12" s="38" t="n"/>
      <c r="E12" s="38" t="n"/>
      <c r="F12" s="38" t="n"/>
      <c r="G12" s="38" t="n"/>
    </row>
    <row r="13">
      <c r="A13" s="39" t="inlineStr">
        <is>
          <t>Investments (Non-current)</t>
        </is>
      </c>
      <c r="B13" s="38" t="n">
        <v>24.1</v>
      </c>
      <c r="C13" s="38" t="n">
        <v>22.15</v>
      </c>
      <c r="D13" s="38" t="n">
        <v>17.02</v>
      </c>
      <c r="E13" s="38" t="n">
        <v>15.94</v>
      </c>
      <c r="F13" s="38" t="n">
        <v>132.82</v>
      </c>
      <c r="G13" s="38" t="n">
        <v>124.2</v>
      </c>
    </row>
    <row r="14">
      <c r="A14" s="39" t="inlineStr">
        <is>
          <t>Loans (Non-current)</t>
        </is>
      </c>
      <c r="B14" s="38" t="n"/>
      <c r="C14" s="38" t="n"/>
      <c r="D14" s="38" t="n"/>
      <c r="E14" s="38" t="n">
        <v>0</v>
      </c>
      <c r="F14" s="38" t="n">
        <v>121.87</v>
      </c>
      <c r="G14" s="38" t="n">
        <v>155.7</v>
      </c>
    </row>
    <row r="15">
      <c r="A15" s="39" t="inlineStr">
        <is>
          <t>Other Financial Assets (Non-current)</t>
        </is>
      </c>
      <c r="B15" s="38" t="n">
        <v>349.43</v>
      </c>
      <c r="C15" s="38" t="n">
        <v>105.75</v>
      </c>
      <c r="D15" s="38" t="n">
        <v>94.68000000000001</v>
      </c>
      <c r="E15" s="38" t="n">
        <v>135.38</v>
      </c>
      <c r="F15" s="38" t="n">
        <v>101.55</v>
      </c>
      <c r="G15" s="38" t="n">
        <v>75.83</v>
      </c>
    </row>
    <row r="16">
      <c r="A16" s="39" t="inlineStr">
        <is>
          <t>Deferred Tax Assets (Net)</t>
        </is>
      </c>
      <c r="B16" s="38" t="n">
        <v>148.21</v>
      </c>
      <c r="C16" s="38" t="n">
        <v>114.67</v>
      </c>
      <c r="D16" s="38" t="n">
        <v>66.38</v>
      </c>
      <c r="E16" s="38" t="n">
        <v>38.65</v>
      </c>
      <c r="F16" s="38" t="n">
        <v>35.12</v>
      </c>
      <c r="G16" s="38" t="n">
        <v>24.5</v>
      </c>
    </row>
    <row r="17">
      <c r="A17" s="39" t="inlineStr">
        <is>
          <t>Non-current Tax Assets (Net)</t>
        </is>
      </c>
      <c r="B17" s="38" t="n">
        <v>18.85</v>
      </c>
      <c r="C17" s="38" t="n">
        <v>16.27</v>
      </c>
      <c r="D17" s="38" t="n">
        <v>12.64</v>
      </c>
      <c r="E17" s="38" t="n">
        <v>12.5</v>
      </c>
      <c r="F17" s="38" t="n">
        <v>10.56</v>
      </c>
      <c r="G17" s="38" t="n">
        <v>12.83</v>
      </c>
    </row>
    <row r="18">
      <c r="A18" s="39" t="inlineStr">
        <is>
          <t>Other Non-current Assets</t>
        </is>
      </c>
      <c r="B18" s="38" t="n">
        <v>2837.21</v>
      </c>
      <c r="C18" s="38" t="n">
        <v>1158.63</v>
      </c>
      <c r="D18" s="38" t="n">
        <v>420.76</v>
      </c>
      <c r="E18" s="38" t="n">
        <v>361.04</v>
      </c>
      <c r="F18" s="38" t="n">
        <v>1000.47</v>
      </c>
      <c r="G18" s="38" t="n">
        <v>337.48</v>
      </c>
    </row>
    <row r="19">
      <c r="A19" s="15" t="inlineStr">
        <is>
          <t>Total Non-current Assets</t>
        </is>
      </c>
      <c r="B19" s="40">
        <f>B6+B7+B8+B9+B10+B11+B12+B13+B14+B15+B16+B17+B18</f>
        <v/>
      </c>
      <c r="C19" s="40">
        <f>C6+C7+C8+C9+C10+C11+C12+C13+C14+C15+C16+C17+C18</f>
        <v/>
      </c>
      <c r="D19" s="40">
        <f>D6+D7+D8+D9+D10+D11+D12+D13+D14+D15+D16+D17+D18</f>
        <v/>
      </c>
      <c r="E19" s="40">
        <f>E6+E7+E8+E9+E10+E11+E12+E13+E14+E15+E16+E17+E18</f>
        <v/>
      </c>
      <c r="F19" s="40">
        <f>F6+F7+F8+F9+F10+F11+F12+F13+F14+F15+F16+F17+F18</f>
        <v/>
      </c>
      <c r="G19" s="40">
        <f>G6+G7+G8+G9+G10+G11+G12+G13+G14+G15+G16+G17+G18</f>
        <v/>
      </c>
    </row>
    <row r="20">
      <c r="A20" s="37" t="inlineStr">
        <is>
          <t>Current Assets</t>
        </is>
      </c>
      <c r="B20" s="38" t="n"/>
      <c r="C20" s="38" t="n"/>
      <c r="D20" s="38" t="n"/>
      <c r="E20" s="38" t="n"/>
      <c r="F20" s="38" t="n"/>
      <c r="G20" s="38" t="n"/>
    </row>
    <row r="21">
      <c r="A21" s="39" t="inlineStr">
        <is>
          <t>Inventories</t>
        </is>
      </c>
      <c r="B21" s="38" t="n">
        <v>507.18</v>
      </c>
      <c r="C21" s="38" t="n">
        <v>658.02</v>
      </c>
      <c r="D21" s="38" t="n">
        <v>800.45</v>
      </c>
      <c r="E21" s="38" t="n">
        <v>820.28</v>
      </c>
      <c r="F21" s="38" t="n">
        <v>537.5700000000001</v>
      </c>
      <c r="G21" s="38" t="n">
        <v>450.35</v>
      </c>
    </row>
    <row r="22">
      <c r="A22" s="39" t="inlineStr">
        <is>
          <t>Investments (Current)</t>
        </is>
      </c>
      <c r="B22" s="38" t="n">
        <v>1507.19</v>
      </c>
      <c r="C22" s="38" t="n">
        <v>873.03</v>
      </c>
      <c r="D22" s="38" t="n">
        <v>937.37</v>
      </c>
      <c r="E22" s="38" t="n">
        <v>787.75</v>
      </c>
      <c r="F22" s="38" t="n">
        <v>273.7</v>
      </c>
      <c r="G22" s="38" t="n">
        <v>341.58</v>
      </c>
    </row>
    <row r="23">
      <c r="A23" s="39" t="inlineStr">
        <is>
          <t>Trade Receivables</t>
        </is>
      </c>
      <c r="B23" s="38" t="n">
        <v>2329.76</v>
      </c>
      <c r="C23" s="38" t="n">
        <v>2362.25</v>
      </c>
      <c r="D23" s="38" t="n">
        <v>2190.86</v>
      </c>
      <c r="E23" s="38" t="n">
        <v>2246.33</v>
      </c>
      <c r="F23" s="38" t="n">
        <v>1602.7</v>
      </c>
      <c r="G23" s="38" t="n">
        <v>1420.29</v>
      </c>
    </row>
    <row r="24">
      <c r="A24" s="39" t="inlineStr">
        <is>
          <t>Cash and Cash Equivalents</t>
        </is>
      </c>
      <c r="B24" s="38" t="n">
        <v>766.61</v>
      </c>
      <c r="C24" s="38" t="n">
        <v>289.11</v>
      </c>
      <c r="D24" s="38" t="n">
        <v>350.83</v>
      </c>
      <c r="E24" s="38" t="n">
        <v>188.23</v>
      </c>
      <c r="F24" s="38" t="n">
        <v>289.41</v>
      </c>
      <c r="G24" s="38" t="n">
        <v>107.28</v>
      </c>
    </row>
    <row r="25">
      <c r="A25" s="39" t="inlineStr">
        <is>
          <t>Bank Balances other than above</t>
        </is>
      </c>
      <c r="B25" s="38" t="n">
        <v>64.81999999999999</v>
      </c>
      <c r="C25" s="38" t="n">
        <v>90.89</v>
      </c>
      <c r="D25" s="38" t="n">
        <v>67.91</v>
      </c>
      <c r="E25" s="38" t="n">
        <v>155.29</v>
      </c>
      <c r="F25" s="38" t="n">
        <v>62.93</v>
      </c>
      <c r="G25" s="38" t="n">
        <v>95.14</v>
      </c>
    </row>
    <row r="26">
      <c r="A26" s="39" t="inlineStr">
        <is>
          <t>Loans (Current)</t>
        </is>
      </c>
      <c r="B26" s="38" t="n"/>
      <c r="C26" s="38" t="n"/>
      <c r="D26" s="38" t="n"/>
      <c r="E26" s="38" t="n"/>
      <c r="F26" s="38" t="n">
        <v>19.9</v>
      </c>
      <c r="G26" s="38" t="n">
        <v>0</v>
      </c>
    </row>
    <row r="27">
      <c r="A27" s="39" t="inlineStr">
        <is>
          <t>Other Financial Assets (Current)</t>
        </is>
      </c>
      <c r="B27" s="38" t="n">
        <v>3516.62</v>
      </c>
      <c r="C27" s="38" t="n">
        <v>4188.37</v>
      </c>
      <c r="D27" s="38" t="n">
        <v>3989.23</v>
      </c>
      <c r="E27" s="38" t="n">
        <v>3111.4</v>
      </c>
      <c r="F27" s="38" t="n">
        <v>2298.81</v>
      </c>
      <c r="G27" s="38" t="n">
        <v>2153.41</v>
      </c>
    </row>
    <row r="28">
      <c r="A28" s="39" t="inlineStr">
        <is>
          <t>Other Current Assets</t>
        </is>
      </c>
      <c r="B28" s="38" t="n">
        <v>547.24</v>
      </c>
      <c r="C28" s="38" t="n">
        <v>158.38</v>
      </c>
      <c r="D28" s="38" t="n">
        <v>169.71</v>
      </c>
      <c r="E28" s="38" t="n">
        <v>143.51</v>
      </c>
      <c r="F28" s="38" t="n">
        <v>140.74</v>
      </c>
      <c r="G28" s="38" t="n">
        <v>76.36</v>
      </c>
    </row>
    <row r="29">
      <c r="A29" s="15" t="inlineStr">
        <is>
          <t>Total Current Assets</t>
        </is>
      </c>
      <c r="B29" s="40">
        <f>B21+B22+B23+B24+B25+B26+B27+B28</f>
        <v/>
      </c>
      <c r="C29" s="40">
        <f>C21+C22+C23+C24+C25+C26+C27+C28</f>
        <v/>
      </c>
      <c r="D29" s="40">
        <f>D21+D22+D23+D24+D25+D26+D27+D28</f>
        <v/>
      </c>
      <c r="E29" s="40">
        <f>E21+E22+E23+E24+E25+E26+E27+E28</f>
        <v/>
      </c>
      <c r="F29" s="40">
        <f>F21+F22+F23+F24+F25+F26+F27+F28</f>
        <v/>
      </c>
      <c r="G29" s="40">
        <f>G21+G22+G23+G24+G25+G26+G27+G28</f>
        <v/>
      </c>
    </row>
    <row r="30">
      <c r="A30" s="15" t="inlineStr">
        <is>
          <t>TOTAL ASSETS</t>
        </is>
      </c>
      <c r="B30" s="40">
        <f>B19+B29</f>
        <v/>
      </c>
      <c r="C30" s="40">
        <f>C19+C29</f>
        <v/>
      </c>
      <c r="D30" s="40">
        <f>D19+D29</f>
        <v/>
      </c>
      <c r="E30" s="40">
        <f>E19+E29</f>
        <v/>
      </c>
      <c r="F30" s="40">
        <f>F19+F29</f>
        <v/>
      </c>
      <c r="G30" s="40">
        <f>G19+G29</f>
        <v/>
      </c>
    </row>
    <row r="31">
      <c r="A31" s="37" t="inlineStr">
        <is>
          <t>EQUITY &amp; LIABILITIES</t>
        </is>
      </c>
      <c r="B31" s="38" t="n"/>
      <c r="C31" s="38" t="n"/>
      <c r="D31" s="38" t="n"/>
      <c r="E31" s="38" t="n"/>
      <c r="F31" s="38" t="n"/>
      <c r="G31" s="38" t="n"/>
    </row>
    <row r="32">
      <c r="A32" s="39" t="inlineStr">
        <is>
          <t>Equity Share Capital</t>
        </is>
      </c>
      <c r="B32" s="38" t="n">
        <v>503.9</v>
      </c>
      <c r="C32" s="38" t="n">
        <v>503.9</v>
      </c>
      <c r="D32" s="38" t="n">
        <v>480.62</v>
      </c>
      <c r="E32" s="38" t="n">
        <v>480.62</v>
      </c>
      <c r="F32" s="38" t="n">
        <v>480.62</v>
      </c>
      <c r="G32" s="38" t="n">
        <v>480.62</v>
      </c>
    </row>
    <row r="33">
      <c r="A33" s="39" t="inlineStr">
        <is>
          <t>Other Equity</t>
        </is>
      </c>
      <c r="B33" s="38" t="n">
        <v>18571.43</v>
      </c>
      <c r="C33" s="38" t="n">
        <v>17111.41</v>
      </c>
      <c r="D33" s="38" t="n">
        <v>11581.09</v>
      </c>
      <c r="E33" s="38" t="n">
        <v>10529.38</v>
      </c>
      <c r="F33" s="38" t="n">
        <v>9462.559999999999</v>
      </c>
      <c r="G33" s="38" t="n">
        <v>9703.620000000001</v>
      </c>
    </row>
    <row r="34">
      <c r="A34" s="15" t="inlineStr">
        <is>
          <t>Net Worth (Attributable to Owners)</t>
        </is>
      </c>
      <c r="B34" s="40">
        <f>B32+B33</f>
        <v/>
      </c>
      <c r="C34" s="40">
        <f>C32+C33</f>
        <v/>
      </c>
      <c r="D34" s="40">
        <f>D32+D33</f>
        <v/>
      </c>
      <c r="E34" s="40">
        <f>E32+E33</f>
        <v/>
      </c>
      <c r="F34" s="40">
        <f>F32+F33</f>
        <v/>
      </c>
      <c r="G34" s="40">
        <f>G32+G33</f>
        <v/>
      </c>
    </row>
    <row r="35">
      <c r="A35" s="39" t="inlineStr">
        <is>
          <t>Non-Controlling Interests</t>
        </is>
      </c>
      <c r="B35" s="38" t="n">
        <v>633.42</v>
      </c>
      <c r="C35" s="38" t="n">
        <v>600.47</v>
      </c>
      <c r="D35" s="38" t="n">
        <v>535.79</v>
      </c>
      <c r="E35" s="38" t="n">
        <v>476.65</v>
      </c>
      <c r="F35" s="38" t="n">
        <v>35.93</v>
      </c>
      <c r="G35" s="38" t="n">
        <v>36.36</v>
      </c>
    </row>
    <row r="36">
      <c r="A36" s="15" t="inlineStr">
        <is>
          <t>Total Equity</t>
        </is>
      </c>
      <c r="B36" s="40">
        <f>B34+B35</f>
        <v/>
      </c>
      <c r="C36" s="40">
        <f>C34+C35</f>
        <v/>
      </c>
      <c r="D36" s="40">
        <f>D34+D35</f>
        <v/>
      </c>
      <c r="E36" s="40">
        <f>E34+E35</f>
        <v/>
      </c>
      <c r="F36" s="40">
        <f>F34+F35</f>
        <v/>
      </c>
      <c r="G36" s="40">
        <f>G34+G35</f>
        <v/>
      </c>
    </row>
    <row r="37">
      <c r="A37" s="37" t="inlineStr">
        <is>
          <t>Non-current Liabilities</t>
        </is>
      </c>
      <c r="B37" s="38" t="n"/>
      <c r="C37" s="38" t="n"/>
      <c r="D37" s="38" t="n"/>
      <c r="E37" s="38" t="n"/>
      <c r="F37" s="38" t="n"/>
      <c r="G37" s="38" t="n"/>
    </row>
    <row r="38">
      <c r="A38" s="39" t="inlineStr">
        <is>
          <t>Borrowings (Non-current)</t>
        </is>
      </c>
      <c r="B38" s="38" t="n">
        <v>11871.42</v>
      </c>
      <c r="C38" s="38" t="n">
        <v>7310.21</v>
      </c>
      <c r="D38" s="38" t="n">
        <v>9916.4</v>
      </c>
      <c r="E38" s="38" t="n">
        <v>8902.32</v>
      </c>
      <c r="F38" s="38" t="n">
        <v>7099.15</v>
      </c>
      <c r="G38" s="38" t="n">
        <v>6672.18</v>
      </c>
    </row>
    <row r="39">
      <c r="A39" s="39" t="inlineStr">
        <is>
          <t>Lease Liabilities (Non-current)</t>
        </is>
      </c>
      <c r="B39" s="38" t="n">
        <v>219.83</v>
      </c>
      <c r="C39" s="38" t="n">
        <v>92.78</v>
      </c>
      <c r="D39" s="38" t="n">
        <v>39.5</v>
      </c>
      <c r="E39" s="38" t="n">
        <v>39.32</v>
      </c>
      <c r="F39" s="38" t="n">
        <v>39.1</v>
      </c>
      <c r="G39" s="38" t="n">
        <v>30.96</v>
      </c>
    </row>
    <row r="40">
      <c r="A40" s="39" t="inlineStr">
        <is>
          <t>Trade Payables (Non-current)</t>
        </is>
      </c>
      <c r="B40" s="38" t="n">
        <v>324.05</v>
      </c>
      <c r="C40" s="38" t="n">
        <v>380.88</v>
      </c>
      <c r="D40" s="38" t="n">
        <v>345.71</v>
      </c>
      <c r="E40" s="38" t="n">
        <v>210.61</v>
      </c>
      <c r="F40" s="38" t="n">
        <v>150.46</v>
      </c>
      <c r="G40" s="38" t="n">
        <v>116.11</v>
      </c>
    </row>
    <row r="41">
      <c r="A41" s="39" t="inlineStr">
        <is>
          <t>Other Financial Liabilities (Non-current)</t>
        </is>
      </c>
      <c r="B41" s="38" t="n">
        <v>38.14</v>
      </c>
      <c r="C41" s="38" t="n">
        <v>8.43</v>
      </c>
      <c r="D41" s="38" t="n">
        <v>0.95</v>
      </c>
      <c r="E41" s="38" t="n">
        <v>0</v>
      </c>
      <c r="F41" s="38" t="n">
        <v>0.33</v>
      </c>
      <c r="G41" s="38" t="n">
        <v>1.17</v>
      </c>
    </row>
    <row r="42">
      <c r="A42" s="39" t="inlineStr">
        <is>
          <t>Deferred Tax Liabilities (Net)</t>
        </is>
      </c>
      <c r="B42" s="38" t="n">
        <v>1628.57</v>
      </c>
      <c r="C42" s="38" t="n">
        <v>1352.21</v>
      </c>
      <c r="D42" s="38" t="n">
        <v>1233.65</v>
      </c>
      <c r="E42" s="38" t="n">
        <v>968.79</v>
      </c>
      <c r="F42" s="38" t="n">
        <v>345.21</v>
      </c>
      <c r="G42" s="38" t="n">
        <v>527.51</v>
      </c>
    </row>
    <row r="43">
      <c r="A43" s="39" t="inlineStr">
        <is>
          <t>Other Non-current Liabilities</t>
        </is>
      </c>
      <c r="B43" s="38" t="n">
        <v>1689.43</v>
      </c>
      <c r="C43" s="38" t="n">
        <v>1623.6</v>
      </c>
      <c r="D43" s="38" t="n">
        <v>1445.68</v>
      </c>
      <c r="E43" s="38" t="n">
        <v>1372.46</v>
      </c>
      <c r="F43" s="38" t="n">
        <v>1261.67</v>
      </c>
      <c r="G43" s="38" t="n">
        <v>1160.34</v>
      </c>
    </row>
    <row r="44">
      <c r="A44" s="15" t="inlineStr">
        <is>
          <t>Total Non-current Liabilities</t>
        </is>
      </c>
      <c r="B44" s="40">
        <f>B38+B39+B40+B41+B42+B43</f>
        <v/>
      </c>
      <c r="C44" s="40">
        <f>C38+C39+C40+C41+C42+C43</f>
        <v/>
      </c>
      <c r="D44" s="40">
        <f>D38+D39+D40+D41+D42+D43</f>
        <v/>
      </c>
      <c r="E44" s="40">
        <f>E38+E39+E40+E41+E42+E43</f>
        <v/>
      </c>
      <c r="F44" s="40">
        <f>F38+F39+F40+F41+F42+F43</f>
        <v/>
      </c>
      <c r="G44" s="40">
        <f>G38+G39+G40+G41+G42+G43</f>
        <v/>
      </c>
    </row>
    <row r="45">
      <c r="A45" s="37" t="inlineStr">
        <is>
          <t>Current Liabilities</t>
        </is>
      </c>
      <c r="B45" s="38" t="n"/>
      <c r="C45" s="38" t="n"/>
      <c r="D45" s="38" t="n"/>
      <c r="E45" s="38" t="n"/>
      <c r="F45" s="38" t="n"/>
      <c r="G45" s="38" t="n"/>
    </row>
    <row r="46">
      <c r="A46" s="39" t="inlineStr">
        <is>
          <t>Borrowings (Current)</t>
        </is>
      </c>
      <c r="B46" s="38" t="n">
        <v>1861.51</v>
      </c>
      <c r="C46" s="38" t="n">
        <v>1426.47</v>
      </c>
      <c r="D46" s="38" t="n">
        <v>1668.63</v>
      </c>
      <c r="E46" s="38" t="n">
        <v>1593.75</v>
      </c>
      <c r="F46" s="38" t="n">
        <v>1999.27</v>
      </c>
      <c r="G46" s="38" t="n">
        <v>1108.37</v>
      </c>
    </row>
    <row r="47">
      <c r="A47" s="39" t="inlineStr">
        <is>
          <t>Lease Liabilities (Current)</t>
        </is>
      </c>
      <c r="B47" s="38" t="n">
        <v>17.8</v>
      </c>
      <c r="C47" s="38" t="n">
        <v>10.28</v>
      </c>
      <c r="D47" s="38" t="n">
        <v>7.27</v>
      </c>
      <c r="E47" s="38" t="n">
        <v>6.02</v>
      </c>
      <c r="F47" s="38" t="n">
        <v>5.11</v>
      </c>
      <c r="G47" s="38" t="n">
        <v>5.05</v>
      </c>
    </row>
    <row r="48">
      <c r="A48" s="39" t="inlineStr">
        <is>
          <t>Trade Payables (Current)</t>
        </is>
      </c>
      <c r="B48" s="38" t="n">
        <v>1879.23</v>
      </c>
      <c r="C48" s="38" t="n">
        <v>1824.13</v>
      </c>
      <c r="D48" s="38" t="n">
        <v>1811.92</v>
      </c>
      <c r="E48" s="38" t="n">
        <v>1522.67</v>
      </c>
      <c r="F48" s="38" t="n">
        <v>1111.13</v>
      </c>
      <c r="G48" s="38" t="n">
        <v>974.79</v>
      </c>
    </row>
    <row r="49">
      <c r="A49" s="39" t="inlineStr">
        <is>
          <t>Other Financial Liabilities (Current)</t>
        </is>
      </c>
      <c r="B49" s="38" t="n">
        <v>4771.06</v>
      </c>
      <c r="C49" s="38" t="n">
        <v>3409.61</v>
      </c>
      <c r="D49" s="38" t="n">
        <v>3264.67</v>
      </c>
      <c r="E49" s="38" t="n">
        <v>2687.72</v>
      </c>
      <c r="F49" s="38" t="n">
        <v>2021.51</v>
      </c>
      <c r="G49" s="38" t="n">
        <v>1799.77</v>
      </c>
    </row>
    <row r="50">
      <c r="A50" s="39" t="inlineStr">
        <is>
          <t>Other Current Liabilities</t>
        </is>
      </c>
      <c r="B50" s="38" t="n">
        <v>921.02</v>
      </c>
      <c r="C50" s="38" t="n">
        <v>689.74</v>
      </c>
      <c r="D50" s="38" t="n">
        <v>735.0599999999999</v>
      </c>
      <c r="E50" s="38" t="n">
        <v>677.24</v>
      </c>
      <c r="F50" s="38" t="n">
        <v>613.5599999999999</v>
      </c>
      <c r="G50" s="38" t="n">
        <v>542.02</v>
      </c>
    </row>
    <row r="51">
      <c r="A51" s="39" t="inlineStr">
        <is>
          <t>Provisions (Current)</t>
        </is>
      </c>
      <c r="B51" s="38" t="n">
        <v>226.37</v>
      </c>
      <c r="C51" s="38" t="n">
        <v>198.17</v>
      </c>
      <c r="D51" s="38" t="n">
        <v>201.74</v>
      </c>
      <c r="E51" s="38" t="n">
        <v>264.06</v>
      </c>
      <c r="F51" s="38" t="n">
        <v>274.55</v>
      </c>
      <c r="G51" s="38" t="n">
        <v>335.3</v>
      </c>
    </row>
    <row r="52">
      <c r="A52" s="39" t="inlineStr">
        <is>
          <t>Current Tax Liabilities (Net)</t>
        </is>
      </c>
      <c r="B52" s="38" t="n">
        <v>36.1</v>
      </c>
      <c r="C52" s="38" t="n">
        <v>31.09</v>
      </c>
      <c r="D52" s="38" t="n">
        <v>123.8</v>
      </c>
      <c r="E52" s="38" t="n">
        <v>178.57</v>
      </c>
      <c r="F52" s="38" t="n">
        <v>122.54</v>
      </c>
      <c r="G52" s="38" t="n">
        <v>44.55</v>
      </c>
    </row>
    <row r="53">
      <c r="A53" s="15" t="inlineStr">
        <is>
          <t>Total Current Liabilities</t>
        </is>
      </c>
      <c r="B53" s="40">
        <f>B46+B47+B48+B49+B50+B51+B52</f>
        <v/>
      </c>
      <c r="C53" s="40">
        <f>C46+C47+C48+C49+C50+C51+C52</f>
        <v/>
      </c>
      <c r="D53" s="40">
        <f>D46+D47+D48+D49+D50+D51+D52</f>
        <v/>
      </c>
      <c r="E53" s="40">
        <f>E46+E47+E48+E49+E50+E51+E52</f>
        <v/>
      </c>
      <c r="F53" s="40">
        <f>F46+F47+F48+F49+F50+F51+F52</f>
        <v/>
      </c>
      <c r="G53" s="40">
        <f>G46+G47+G48+G49+G50+G51+G52</f>
        <v/>
      </c>
    </row>
    <row r="54">
      <c r="A54" s="15" t="inlineStr">
        <is>
          <t>TOTAL EQUITY AND LIABILITIES</t>
        </is>
      </c>
      <c r="B54" s="40">
        <f>B36+B44+B53</f>
        <v/>
      </c>
      <c r="C54" s="40">
        <f>C36+C44+C53</f>
        <v/>
      </c>
      <c r="D54" s="40">
        <f>D36+D44+D53</f>
        <v/>
      </c>
      <c r="E54" s="40">
        <f>E36+E44+E53</f>
        <v/>
      </c>
      <c r="F54" s="40">
        <f>F36+F44+F53</f>
        <v/>
      </c>
      <c r="G54" s="40">
        <f>G36+G44+G53</f>
        <v/>
      </c>
    </row>
  </sheetData>
  <mergeCells count="2">
    <mergeCell ref="A2:G2"/>
    <mergeCell ref="A1:G1"/>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G2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34" t="inlineStr">
        <is>
          <t>Sources: Torrent Power Integrated Annual Reports FY21-22 through FY25-26 — 'Consolidated Statement of Profit and Loss' for each year ended. GREEN 'Total'/'Profit' cells are LIVE FORMULAS. Only FY22 had an exceptional item (the ~Rs 1,300cr DGEN plant impairment) — all other years are genuinely nil, not missing data.</t>
        </is>
      </c>
    </row>
    <row r="4">
      <c r="A4" s="35" t="inlineStr">
        <is>
          <t>Particulars (₹ crore)</t>
        </is>
      </c>
      <c r="B4" s="36" t="inlineStr">
        <is>
          <t>FY 2025-26</t>
        </is>
      </c>
      <c r="C4" s="36" t="inlineStr">
        <is>
          <t>FY 2024-25</t>
        </is>
      </c>
      <c r="D4" s="36" t="inlineStr">
        <is>
          <t>FY 2023-24</t>
        </is>
      </c>
      <c r="E4" s="36" t="inlineStr">
        <is>
          <t>FY 2022-23</t>
        </is>
      </c>
      <c r="F4" s="36" t="inlineStr">
        <is>
          <t>FY 2021-22</t>
        </is>
      </c>
      <c r="G4" s="36" t="inlineStr">
        <is>
          <t>FY 2020-21</t>
        </is>
      </c>
    </row>
    <row r="5">
      <c r="A5" s="39" t="inlineStr">
        <is>
          <t>Revenue from Operations</t>
        </is>
      </c>
      <c r="B5" s="38" t="n">
        <v>28966.31</v>
      </c>
      <c r="C5" s="38" t="n">
        <v>29165.26</v>
      </c>
      <c r="D5" s="38" t="n">
        <v>27183.21</v>
      </c>
      <c r="E5" s="38" t="n">
        <v>25694.12</v>
      </c>
      <c r="F5" s="38" t="n">
        <v>14257.61</v>
      </c>
      <c r="G5" s="38" t="n">
        <v>12172.66</v>
      </c>
    </row>
    <row r="6">
      <c r="A6" s="39" t="inlineStr">
        <is>
          <t>Other Income</t>
        </is>
      </c>
      <c r="B6" s="38" t="n">
        <v>322.61</v>
      </c>
      <c r="C6" s="38" t="n">
        <v>487.21</v>
      </c>
      <c r="D6" s="38" t="n">
        <v>344.32</v>
      </c>
      <c r="E6" s="38" t="n">
        <v>381.85</v>
      </c>
      <c r="F6" s="38" t="n">
        <v>235.04</v>
      </c>
      <c r="G6" s="38" t="n">
        <v>141.81</v>
      </c>
    </row>
    <row r="7">
      <c r="A7" s="15" t="inlineStr">
        <is>
          <t>Total Income</t>
        </is>
      </c>
      <c r="B7" s="40">
        <f>B5+B6</f>
        <v/>
      </c>
      <c r="C7" s="40">
        <f>C5+C6</f>
        <v/>
      </c>
      <c r="D7" s="40">
        <f>D5+D6</f>
        <v/>
      </c>
      <c r="E7" s="40">
        <f>E5+E6</f>
        <v/>
      </c>
      <c r="F7" s="40">
        <f>F5+F6</f>
        <v/>
      </c>
      <c r="G7" s="40">
        <f>G5+G6</f>
        <v/>
      </c>
    </row>
    <row r="8">
      <c r="A8" s="37" t="inlineStr">
        <is>
          <t>Expenses</t>
        </is>
      </c>
      <c r="B8" s="38" t="n"/>
      <c r="C8" s="38" t="n"/>
      <c r="D8" s="38" t="n"/>
      <c r="E8" s="38" t="n"/>
      <c r="F8" s="38" t="n"/>
      <c r="G8" s="38" t="n"/>
    </row>
    <row r="9">
      <c r="A9" s="39" t="inlineStr">
        <is>
          <t>Electrical Energy Purchased</t>
        </is>
      </c>
      <c r="B9" s="38" t="n">
        <v>15053.7</v>
      </c>
      <c r="C9" s="38" t="n">
        <v>15289.81</v>
      </c>
      <c r="D9" s="38" t="n">
        <v>13743.27</v>
      </c>
      <c r="E9" s="38" t="n">
        <v>14440.53</v>
      </c>
      <c r="F9" s="38" t="n">
        <v>5116.39</v>
      </c>
      <c r="G9" s="38" t="n">
        <v>3358.36</v>
      </c>
    </row>
    <row r="10">
      <c r="A10" s="39" t="inlineStr">
        <is>
          <t>Fuel Cost</t>
        </is>
      </c>
      <c r="B10" s="38" t="n">
        <v>3944.21</v>
      </c>
      <c r="C10" s="38" t="n">
        <v>4877.69</v>
      </c>
      <c r="D10" s="38" t="n">
        <v>5647.95</v>
      </c>
      <c r="E10" s="38" t="n">
        <v>2508.23</v>
      </c>
      <c r="F10" s="38" t="n">
        <v>3403.4</v>
      </c>
      <c r="G10" s="38" t="n">
        <v>3610.55</v>
      </c>
    </row>
    <row r="11">
      <c r="A11" s="39" t="inlineStr">
        <is>
          <t>Cost of Materials Consumed</t>
        </is>
      </c>
      <c r="B11" s="38" t="n"/>
      <c r="C11" s="38" t="n">
        <v>213.46</v>
      </c>
      <c r="D11" s="38" t="n">
        <v>406.5</v>
      </c>
      <c r="E11" s="38" t="n">
        <v>334.81</v>
      </c>
      <c r="F11" s="38" t="n">
        <v>262.64</v>
      </c>
      <c r="G11" s="38" t="n">
        <v>104.21</v>
      </c>
    </row>
    <row r="12">
      <c r="A12" s="39" t="inlineStr">
        <is>
          <t>Purchase of Stock-in-Trade</t>
        </is>
      </c>
      <c r="B12" s="38" t="n">
        <v>1593.67</v>
      </c>
      <c r="C12" s="38" t="n">
        <v>1103.91</v>
      </c>
      <c r="D12" s="38" t="n">
        <v>690.53</v>
      </c>
      <c r="E12" s="38" t="n">
        <v>1879.26</v>
      </c>
      <c r="F12" s="38" t="n">
        <v>305.99</v>
      </c>
      <c r="G12" s="38" t="n">
        <v>48.24</v>
      </c>
    </row>
    <row r="13">
      <c r="A13" s="39" t="inlineStr">
        <is>
          <t>Changes in Inventories of Finished Goods and WIP</t>
        </is>
      </c>
      <c r="B13" s="38" t="n">
        <v>0</v>
      </c>
      <c r="C13" s="38" t="n">
        <v>0.11</v>
      </c>
      <c r="D13" s="38" t="n">
        <v>20.45</v>
      </c>
      <c r="E13" s="38" t="n">
        <v>-29.19</v>
      </c>
      <c r="F13" s="38" t="n">
        <v>-11.11</v>
      </c>
      <c r="G13" s="38" t="n">
        <v>8.859999999999999</v>
      </c>
    </row>
    <row r="14">
      <c r="A14" s="39" t="inlineStr">
        <is>
          <t>Employee Benefits Expense</t>
        </is>
      </c>
      <c r="B14" s="38" t="n">
        <v>705.8</v>
      </c>
      <c r="C14" s="38" t="n">
        <v>689.96</v>
      </c>
      <c r="D14" s="38" t="n">
        <v>611.1900000000001</v>
      </c>
      <c r="E14" s="38" t="n">
        <v>578.25</v>
      </c>
      <c r="F14" s="38" t="n">
        <v>533.54</v>
      </c>
      <c r="G14" s="38" t="n">
        <v>538.9400000000001</v>
      </c>
    </row>
    <row r="15">
      <c r="A15" s="39" t="inlineStr">
        <is>
          <t>Finance Costs</t>
        </is>
      </c>
      <c r="B15" s="38" t="n">
        <v>934.47</v>
      </c>
      <c r="C15" s="38" t="n">
        <v>1044.87</v>
      </c>
      <c r="D15" s="38" t="n">
        <v>943.4</v>
      </c>
      <c r="E15" s="38" t="n">
        <v>818.2</v>
      </c>
      <c r="F15" s="38" t="n">
        <v>628.21</v>
      </c>
      <c r="G15" s="38" t="n">
        <v>775.73</v>
      </c>
    </row>
    <row r="16">
      <c r="A16" s="39" t="inlineStr">
        <is>
          <t>Depreciation &amp; Amortisation</t>
        </is>
      </c>
      <c r="B16" s="38" t="n">
        <v>1612.75</v>
      </c>
      <c r="C16" s="38" t="n">
        <v>1497.12</v>
      </c>
      <c r="D16" s="38" t="n">
        <v>1377.5</v>
      </c>
      <c r="E16" s="38" t="n">
        <v>1280.96</v>
      </c>
      <c r="F16" s="38" t="n">
        <v>1333.86</v>
      </c>
      <c r="G16" s="38" t="n">
        <v>1279.55</v>
      </c>
    </row>
    <row r="17">
      <c r="A17" s="39" t="inlineStr">
        <is>
          <t>Other Expenses</t>
        </is>
      </c>
      <c r="B17" s="38" t="n">
        <v>2127.55</v>
      </c>
      <c r="C17" s="38" t="n">
        <v>1682.96</v>
      </c>
      <c r="D17" s="38" t="n">
        <v>1504.14</v>
      </c>
      <c r="E17" s="38" t="n">
        <v>1223.56</v>
      </c>
      <c r="F17" s="38" t="n">
        <v>1055.76</v>
      </c>
      <c r="G17" s="38" t="n">
        <v>1038.26</v>
      </c>
    </row>
    <row r="18">
      <c r="A18" s="15" t="inlineStr">
        <is>
          <t>Total Expenses</t>
        </is>
      </c>
      <c r="B18" s="40">
        <f>B9+B10+B11+B12+B13+B14+B15+B16+B17</f>
        <v/>
      </c>
      <c r="C18" s="40">
        <f>C9+C10+C11+C12+C13+C14+C15+C16+C17</f>
        <v/>
      </c>
      <c r="D18" s="40">
        <f>D9+D10+D11+D12+D13+D14+D15+D16+D17</f>
        <v/>
      </c>
      <c r="E18" s="40">
        <f>E9+E10+E11+E12+E13+E14+E15+E16+E17</f>
        <v/>
      </c>
      <c r="F18" s="40">
        <f>F9+F10+F11+F12+F13+F14+F15+F16+F17</f>
        <v/>
      </c>
      <c r="G18" s="40">
        <f>G9+G10+G11+G12+G13+G14+G15+G16+G17</f>
        <v/>
      </c>
    </row>
    <row r="19">
      <c r="A19" s="15" t="inlineStr">
        <is>
          <t>Profit Before Exceptional Items and Tax</t>
        </is>
      </c>
      <c r="B19" s="40">
        <f>B7-B18</f>
        <v/>
      </c>
      <c r="C19" s="40">
        <f>C7-C18</f>
        <v/>
      </c>
      <c r="D19" s="40">
        <f>D7-D18</f>
        <v/>
      </c>
      <c r="E19" s="40">
        <f>E7-E18</f>
        <v/>
      </c>
      <c r="F19" s="40">
        <f>F7-F18</f>
        <v/>
      </c>
      <c r="G19" s="40">
        <f>G7-G18</f>
        <v/>
      </c>
    </row>
    <row r="20">
      <c r="A20" s="39" t="inlineStr">
        <is>
          <t>Exceptional Items (DGEN plant impairment, FY22 only)</t>
        </is>
      </c>
      <c r="B20" s="38" t="n">
        <v>0</v>
      </c>
      <c r="C20" s="38" t="n">
        <v>0</v>
      </c>
      <c r="D20" s="38" t="n">
        <v>0</v>
      </c>
      <c r="E20" s="38" t="n">
        <v>0</v>
      </c>
      <c r="F20" s="38" t="n">
        <v>1300</v>
      </c>
      <c r="G20" s="38" t="n">
        <v>0</v>
      </c>
    </row>
    <row r="21">
      <c r="A21" s="15" t="inlineStr">
        <is>
          <t>Profit Before Tax</t>
        </is>
      </c>
      <c r="B21" s="40">
        <f>B19-B20</f>
        <v/>
      </c>
      <c r="C21" s="40">
        <f>C19-C20</f>
        <v/>
      </c>
      <c r="D21" s="40">
        <f>D19-D20</f>
        <v/>
      </c>
      <c r="E21" s="40">
        <f>E19-E20</f>
        <v/>
      </c>
      <c r="F21" s="40">
        <f>F19-F20</f>
        <v/>
      </c>
      <c r="G21" s="40">
        <f>G19-G20</f>
        <v/>
      </c>
    </row>
    <row r="22">
      <c r="A22" s="39" t="inlineStr">
        <is>
          <t>Current Tax</t>
        </is>
      </c>
      <c r="B22" s="38" t="n">
        <v>728.15</v>
      </c>
      <c r="C22" s="38" t="n">
        <v>600.47</v>
      </c>
      <c r="D22" s="38" t="n">
        <v>445.07</v>
      </c>
      <c r="E22" s="38" t="n">
        <v>672.8200000000001</v>
      </c>
      <c r="F22" s="38" t="n">
        <v>372.48</v>
      </c>
      <c r="G22" s="38" t="n">
        <v>287.85</v>
      </c>
    </row>
    <row r="23">
      <c r="A23" s="39" t="inlineStr">
        <is>
          <t>Deferred Tax</t>
        </is>
      </c>
      <c r="B23" s="38" t="n">
        <v>119.26</v>
      </c>
      <c r="C23" s="38" t="n">
        <v>-406.5</v>
      </c>
      <c r="D23" s="38" t="n">
        <v>241.53</v>
      </c>
      <c r="E23" s="38" t="n">
        <v>203.87</v>
      </c>
      <c r="F23" s="38" t="n">
        <v>-267.21</v>
      </c>
      <c r="G23" s="38" t="n">
        <v>-31.95</v>
      </c>
    </row>
    <row r="24">
      <c r="A24" s="15" t="inlineStr">
        <is>
          <t>Total Tax Expense</t>
        </is>
      </c>
      <c r="B24" s="40">
        <f>B22+B23</f>
        <v/>
      </c>
      <c r="C24" s="40">
        <f>C22+C23</f>
        <v/>
      </c>
      <c r="D24" s="40">
        <f>D22+D23</f>
        <v/>
      </c>
      <c r="E24" s="40">
        <f>E22+E23</f>
        <v/>
      </c>
      <c r="F24" s="40">
        <f>F22+F23</f>
        <v/>
      </c>
      <c r="G24" s="40">
        <f>G22+G23</f>
        <v/>
      </c>
    </row>
    <row r="25">
      <c r="A25" s="15" t="inlineStr">
        <is>
          <t>Profit for the Year (PAT, consolidated)</t>
        </is>
      </c>
      <c r="B25" s="40">
        <f>B21-B24</f>
        <v/>
      </c>
      <c r="C25" s="40">
        <f>C21-C24</f>
        <v/>
      </c>
      <c r="D25" s="40">
        <f>D21-D24</f>
        <v/>
      </c>
      <c r="E25" s="40">
        <f>E21-E24</f>
        <v/>
      </c>
      <c r="F25" s="40">
        <f>F21-F24</f>
        <v/>
      </c>
      <c r="G25" s="40">
        <f>G21-G24</f>
        <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2026-07-16T11:31:37Z</dcterms:created>
  <dcterms:modified xsi:type="dcterms:W3CDTF">2026-07-16T11:31:37Z</dcterms:modified>
</cp:coreProperties>
</file>
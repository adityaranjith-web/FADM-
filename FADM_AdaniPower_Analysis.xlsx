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 name="Adani_BS_Consolidated" sheetId="20" state="visible" r:id="rId20"/>
    <sheet name="Adani_PL_Consolidated" sheetId="21" state="visible" r:id="rId21"/>
    <sheet name="Tata_BS_Consolidated" sheetId="22" state="visible" r:id="rId22"/>
    <sheet name="Tata_PL_Consolidated" sheetId="23" state="visible" r:id="rId23"/>
    <sheet name="Torrent_BS_Consolidated" sheetId="24" state="visible" r:id="rId24"/>
    <sheet name="Torrent_PL_Consolidated" sheetId="25" state="visible" r:id="rId2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b val="1"/>
      <color rgb="00008000"/>
    </font>
    <font>
      <b val="1"/>
      <color rgb="00008000"/>
      <sz val="12"/>
    </font>
    <font>
      <b val="1"/>
      <color rgb="00FFFFFF"/>
    </font>
    <font/>
    <font>
      <b val="1"/>
      <color rgb="001F4E78"/>
      <sz val="11"/>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0" fontId="13" fillId="0" borderId="0" pivotButton="0" quotePrefix="0" xfId="0"/>
    <xf numFmtId="0" fontId="14" fillId="0" borderId="0" pivotButton="0" quotePrefix="0" xfId="0"/>
    <xf numFmtId="0" fontId="17" fillId="0" borderId="0" pivotButton="0" quotePrefix="0" xfId="0"/>
    <xf numFmtId="0" fontId="10" fillId="0" borderId="0" applyAlignment="1" pivotButton="0" quotePrefix="0" xfId="0">
      <alignment wrapText="1"/>
    </xf>
    <xf numFmtId="0" fontId="15" fillId="3" borderId="0" pivotButton="0" quotePrefix="0" xfId="0"/>
    <xf numFmtId="0" fontId="15" fillId="3" borderId="0" applyAlignment="1" pivotButton="0" quotePrefix="0" xfId="0">
      <alignment horizontal="center"/>
    </xf>
    <xf numFmtId="0" fontId="12" fillId="0" borderId="1" pivotButton="0" quotePrefix="0" xfId="0"/>
    <xf numFmtId="0" fontId="16" fillId="0" borderId="1" pivotButton="0" quotePrefix="0" xfId="0"/>
    <xf numFmtId="4" fontId="0" fillId="0" borderId="1" pivotButton="0" quotePrefix="0" xfId="0"/>
    <xf numFmtId="4" fontId="2" fillId="4" borderId="1" pivotButton="0" quotePrefix="0" xfId="0"/>
    <xf numFmtId="0"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4" t="inlineStr">
        <is>
          <t>Detailed per-company Consolidated Financial Statements (6 sheets):</t>
        </is>
      </c>
    </row>
    <row r="36">
      <c r="B36" t="inlineStr">
        <is>
          <t>Adani_BS_Consolidated, Adani_PL_Consolidated, Tata_BS_Consolidated, Tata_PL_Consolidated, Torrent_BS_Consolidated, Torrent_PL_Consolidated</t>
        </is>
      </c>
    </row>
    <row r="37">
      <c r="B37" s="12" t="inlineStr">
        <is>
          <t>(replaces earlier draft sheets that mixed in mislabeled standalone Adani Power data)</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31:G35"/>
    <mergeCell ref="A17:G17"/>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19">
        <f>IFERROR(IF(OR(ISTEXT('2_Growth_Comparison'!B7),ISTEXT('2_Growth_Comparison'!B9)),"N/A",'2_Growth_Comparison'!B7/'2_Growth_Comparison'!B9),"N/A")</f>
        <v/>
      </c>
      <c r="C7" s="19">
        <f>IFERROR(IF(OR(ISTEXT('2_Growth_Comparison'!C7),ISTEXT('2_Growth_Comparison'!C9)),"N/A",'2_Growth_Comparison'!C7/'2_Growth_Comparison'!C9),"N/A")</f>
        <v/>
      </c>
      <c r="D7" s="19">
        <f>IFERROR(IF(OR(ISTEXT('2_Growth_Comparison'!D7),ISTEXT('2_Growth_Comparison'!D9)),"N/A",'2_Growth_Comparison'!D7/'2_Growth_Comparison'!D9),"N/A")</f>
        <v/>
      </c>
      <c r="E7" s="19">
        <f>IFERROR(IF(OR(ISTEXT('2_Growth_Comparison'!E7),ISTEXT('2_Growth_Comparison'!E9)),"N/A",'2_Growth_Comparison'!E7/'2_Growth_Comparison'!E9),"N/A")</f>
        <v/>
      </c>
      <c r="F7" s="19">
        <f>IFERROR(IF(OR(ISTEXT('2_Growth_Comparison'!F7),ISTEXT('2_Growth_Comparison'!F9)),"N/A",'2_Growth_Comparison'!F7/'2_Growth_Comparison'!F9),"N/A")</f>
        <v/>
      </c>
    </row>
    <row r="8">
      <c r="A8" s="2" t="inlineStr">
        <is>
          <t>Adani Power — Sales / Employee (₹ lakh)</t>
        </is>
      </c>
      <c r="B8" s="19">
        <f>IFERROR(IF(OR(ISTEXT('2_Growth_Comparison'!B7),ISTEXT('2_Growth_Comparison'!B10)),"N/A",'2_Growth_Comparison'!B7*100/'2_Growth_Comparison'!B10),"N/A")</f>
        <v/>
      </c>
      <c r="C8" s="19">
        <f>IFERROR(IF(OR(ISTEXT('2_Growth_Comparison'!C7),ISTEXT('2_Growth_Comparison'!C10)),"N/A",'2_Growth_Comparison'!C7*100/'2_Growth_Comparison'!C10),"N/A")</f>
        <v/>
      </c>
      <c r="D8" s="19">
        <f>IFERROR(IF(OR(ISTEXT('2_Growth_Comparison'!D7),ISTEXT('2_Growth_Comparison'!D10)),"N/A",'2_Growth_Comparison'!D7*100/'2_Growth_Comparison'!D10),"N/A")</f>
        <v/>
      </c>
      <c r="E8" s="19">
        <f>IFERROR(IF(OR(ISTEXT('2_Growth_Comparison'!E7),ISTEXT('2_Growth_Comparison'!E10)),"N/A",'2_Growth_Comparison'!E7*100/'2_Growth_Comparison'!E10),"N/A")</f>
        <v/>
      </c>
      <c r="F8" s="19">
        <f>IFERROR(IF(OR(ISTEXT('2_Growth_Comparison'!F7),ISTEXT('2_Growth_Comparison'!F10)),"N/A",'2_Growth_Comparison'!F7*100/'2_Growth_Comparison'!F10),"N/A")</f>
        <v/>
      </c>
    </row>
    <row r="10">
      <c r="A10" s="2" t="inlineStr">
        <is>
          <t>Tata Power — Sales / Total Assets (x)</t>
        </is>
      </c>
      <c r="B10" s="19">
        <f>IFERROR(IF(OR(ISTEXT('2_Growth_Comparison'!B13),ISTEXT('2_Growth_Comparison'!B15)),"N/A",'2_Growth_Comparison'!B13/'2_Growth_Comparison'!B15),"N/A")</f>
        <v/>
      </c>
      <c r="C10" s="19">
        <f>IFERROR(IF(OR(ISTEXT('2_Growth_Comparison'!C13),ISTEXT('2_Growth_Comparison'!C15)),"N/A",'2_Growth_Comparison'!C13/'2_Growth_Comparison'!C15),"N/A")</f>
        <v/>
      </c>
      <c r="D10" s="19">
        <f>IFERROR(IF(OR(ISTEXT('2_Growth_Comparison'!D13),ISTEXT('2_Growth_Comparison'!D15)),"N/A",'2_Growth_Comparison'!D13/'2_Growth_Comparison'!D15),"N/A")</f>
        <v/>
      </c>
      <c r="E10" s="19">
        <f>IFERROR(IF(OR(ISTEXT('2_Growth_Comparison'!E13),ISTEXT('2_Growth_Comparison'!E15)),"N/A",'2_Growth_Comparison'!E13/'2_Growth_Comparison'!E15),"N/A")</f>
        <v/>
      </c>
      <c r="F10" s="19">
        <f>IFERROR(IF(OR(ISTEXT('2_Growth_Comparison'!F13),ISTEXT('2_Growth_Comparison'!F15)),"N/A",'2_Growth_Comparison'!F13/'2_Growth_Comparison'!F15),"N/A")</f>
        <v/>
      </c>
    </row>
    <row r="11">
      <c r="A11" s="2" t="inlineStr">
        <is>
          <t>Tata Power — Sales / Employee (₹ lakh)</t>
        </is>
      </c>
      <c r="B11" s="19">
        <f>IFERROR(IF(OR(ISTEXT('2_Growth_Comparison'!B13),ISTEXT('2_Growth_Comparison'!B16)),"N/A",'2_Growth_Comparison'!B13*100/'2_Growth_Comparison'!B16),"N/A")</f>
        <v/>
      </c>
      <c r="C11" s="19">
        <f>IFERROR(IF(OR(ISTEXT('2_Growth_Comparison'!C13),ISTEXT('2_Growth_Comparison'!C16)),"N/A",'2_Growth_Comparison'!C13*100/'2_Growth_Comparison'!C16),"N/A")</f>
        <v/>
      </c>
      <c r="D11" s="19">
        <f>IFERROR(IF(OR(ISTEXT('2_Growth_Comparison'!D13),ISTEXT('2_Growth_Comparison'!D16)),"N/A",'2_Growth_Comparison'!D13*100/'2_Growth_Comparison'!D16),"N/A")</f>
        <v/>
      </c>
      <c r="E11" s="19">
        <f>IFERROR(IF(OR(ISTEXT('2_Growth_Comparison'!E13),ISTEXT('2_Growth_Comparison'!E16)),"N/A",'2_Growth_Comparison'!E13*100/'2_Growth_Comparison'!E16),"N/A")</f>
        <v/>
      </c>
      <c r="F11" s="19">
        <f>IFERROR(IF(OR(ISTEXT('2_Growth_Comparison'!F13),ISTEXT('2_Growth_Comparison'!F16)),"N/A",'2_Growth_Comparison'!F13*100/'2_Growth_Comparison'!F16),"N/A")</f>
        <v/>
      </c>
    </row>
    <row r="13">
      <c r="A13" s="2" t="inlineStr">
        <is>
          <t>Torrent Power — Sales / Total Assets (x)</t>
        </is>
      </c>
      <c r="B13" s="19">
        <f>IFERROR(IF(OR(ISTEXT('2_Growth_Comparison'!B19),ISTEXT('2_Growth_Comparison'!B21)),"N/A",'2_Growth_Comparison'!B19/'2_Growth_Comparison'!B21),"N/A")</f>
        <v/>
      </c>
      <c r="C13" s="19">
        <f>IFERROR(IF(OR(ISTEXT('2_Growth_Comparison'!C19),ISTEXT('2_Growth_Comparison'!C21)),"N/A",'2_Growth_Comparison'!C19/'2_Growth_Comparison'!C21),"N/A")</f>
        <v/>
      </c>
      <c r="D13" s="19">
        <f>IFERROR(IF(OR(ISTEXT('2_Growth_Comparison'!D19),ISTEXT('2_Growth_Comparison'!D21)),"N/A",'2_Growth_Comparison'!D19/'2_Growth_Comparison'!D21),"N/A")</f>
        <v/>
      </c>
      <c r="E13" s="19">
        <f>IFERROR(IF(OR(ISTEXT('2_Growth_Comparison'!E19),ISTEXT('2_Growth_Comparison'!E21)),"N/A",'2_Growth_Comparison'!E19/'2_Growth_Comparison'!E21),"N/A")</f>
        <v/>
      </c>
      <c r="F13" s="19">
        <f>IFERROR(IF(OR(ISTEXT('2_Growth_Comparison'!F19),ISTEXT('2_Growth_Comparison'!F21)),"N/A",'2_Growth_Comparison'!F19/'2_Growth_Comparison'!F21),"N/A")</f>
        <v/>
      </c>
    </row>
    <row r="14">
      <c r="A14" s="2" t="inlineStr">
        <is>
          <t>Torrent Power — Sales / Employee (₹ lakh)</t>
        </is>
      </c>
      <c r="B14" s="19">
        <f>IFERROR(IF(OR(ISTEXT('2_Growth_Comparison'!B19),ISTEXT('2_Growth_Comparison'!B22)),"N/A",'2_Growth_Comparison'!B19*100/'2_Growth_Comparison'!B22),"N/A")</f>
        <v/>
      </c>
      <c r="C14" s="19">
        <f>IFERROR(IF(OR(ISTEXT('2_Growth_Comparison'!C19),ISTEXT('2_Growth_Comparison'!C22)),"N/A",'2_Growth_Comparison'!C19*100/'2_Growth_Comparison'!C22),"N/A")</f>
        <v/>
      </c>
      <c r="D14" s="19">
        <f>IFERROR(IF(OR(ISTEXT('2_Growth_Comparison'!D19),ISTEXT('2_Growth_Comparison'!D22)),"N/A",'2_Growth_Comparison'!D19*100/'2_Growth_Comparison'!D22),"N/A")</f>
        <v/>
      </c>
      <c r="E14" s="19">
        <f>IFERROR(IF(OR(ISTEXT('2_Growth_Comparison'!E19),ISTEXT('2_Growth_Comparison'!E22)),"N/A",'2_Growth_Comparison'!E19*100/'2_Growth_Comparison'!E22),"N/A")</f>
        <v/>
      </c>
      <c r="F14" s="19">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0"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0"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1"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s="16" t="inlineStr">
        <is>
          <t>Price at start (14-Jul-2025, adj)</t>
        </is>
      </c>
      <c r="B6" s="16" t="inlineStr">
        <is>
          <t>118.93</t>
        </is>
      </c>
      <c r="C6" s="16" t="inlineStr">
        <is>
          <t>405.39</t>
        </is>
      </c>
      <c r="D6" s="16" t="inlineStr">
        <is>
          <t>1,349.89</t>
        </is>
      </c>
      <c r="E6" s="16" t="inlineStr">
        <is>
          <t>36,231.65</t>
        </is>
      </c>
      <c r="F6" s="16" t="inlineStr">
        <is>
          <t>24,968.40</t>
        </is>
      </c>
    </row>
    <row r="7" ht="26" customHeight="1">
      <c r="A7" s="16" t="inlineStr">
        <is>
          <t>Price at end (15-Jul-2026)</t>
        </is>
      </c>
      <c r="B7" s="16" t="inlineStr">
        <is>
          <t>218.97</t>
        </is>
      </c>
      <c r="C7" s="16" t="inlineStr">
        <is>
          <t>380.90</t>
        </is>
      </c>
      <c r="D7" s="16" t="inlineStr">
        <is>
          <t>1,441.10</t>
        </is>
      </c>
      <c r="E7" s="16" t="inlineStr">
        <is>
          <t>39,381.25</t>
        </is>
      </c>
      <c r="F7" s="16" t="inlineStr">
        <is>
          <t>24,078.50</t>
        </is>
      </c>
    </row>
    <row r="8" ht="26" customHeight="1">
      <c r="A8" s="16" t="inlineStr">
        <is>
          <t>52-week weekly-close range</t>
        </is>
      </c>
      <c r="B8" s="16" t="inlineStr">
        <is>
          <t>113.40 - 243.37</t>
        </is>
      </c>
      <c r="C8" s="16" t="inlineStr">
        <is>
          <t>343.12 - 441.81</t>
        </is>
      </c>
      <c r="D8" s="16" t="inlineStr">
        <is>
          <t>1,204.41 - 1,730.01</t>
        </is>
      </c>
      <c r="E8" s="16" t="inlineStr">
        <is>
          <t>33,098.30 - 40,878.00</t>
        </is>
      </c>
      <c r="F8" s="16" t="inlineStr">
        <is>
          <t>22,713.10 - 26,328.55</t>
        </is>
      </c>
    </row>
    <row r="9" ht="26" customHeight="1">
      <c r="A9" s="16" t="inlineStr">
        <is>
          <t>1-year return (COMPUTED)</t>
        </is>
      </c>
      <c r="B9" s="16" t="inlineStr">
        <is>
          <t>+84.1%</t>
        </is>
      </c>
      <c r="C9" s="16" t="inlineStr">
        <is>
          <t>-6.0%</t>
        </is>
      </c>
      <c r="D9" s="16" t="inlineStr">
        <is>
          <t>+6.8%</t>
        </is>
      </c>
      <c r="E9" s="16" t="inlineStr">
        <is>
          <t>+8.7%</t>
        </is>
      </c>
      <c r="F9" s="16" t="inlineStr">
        <is>
          <t>-3.6%</t>
        </is>
      </c>
    </row>
    <row r="10" ht="26" customHeight="1">
      <c r="A10" s="16" t="inlineStr">
        <is>
          <t>Weekly return std dev (COMPUTED)</t>
        </is>
      </c>
      <c r="B10" s="16" t="inlineStr">
        <is>
          <t>4.95%</t>
        </is>
      </c>
      <c r="C10" s="16" t="inlineStr">
        <is>
          <t>2.90%</t>
        </is>
      </c>
      <c r="D10" s="16" t="inlineStr">
        <is>
          <t>4.55%</t>
        </is>
      </c>
      <c r="E10" s="16" t="inlineStr">
        <is>
          <t>2.30%</t>
        </is>
      </c>
      <c r="F10" s="16" t="inlineStr">
        <is>
          <t>1.70%</t>
        </is>
      </c>
    </row>
    <row r="11" ht="26" customHeight="1">
      <c r="A11" s="16" t="inlineStr">
        <is>
          <t>Annualized volatility = sd x sqrt(52)</t>
        </is>
      </c>
      <c r="B11" s="16" t="inlineStr">
        <is>
          <t>35.7%</t>
        </is>
      </c>
      <c r="C11" s="16" t="inlineStr">
        <is>
          <t>20.9%</t>
        </is>
      </c>
      <c r="D11" s="16" t="inlineStr">
        <is>
          <t>32.8%</t>
        </is>
      </c>
      <c r="E11" s="16" t="inlineStr">
        <is>
          <t>16.6%</t>
        </is>
      </c>
      <c r="F11" s="16" t="inlineStr">
        <is>
          <t>12.3%</t>
        </is>
      </c>
    </row>
    <row r="12" ht="26" customHeight="1">
      <c r="A12" s="16" t="inlineStr">
        <is>
          <t>Beta vs Nifty 50 / market (COMPUTED)</t>
        </is>
      </c>
      <c r="B12" s="16" t="inlineStr">
        <is>
          <t>1.13</t>
        </is>
      </c>
      <c r="C12" s="16" t="inlineStr">
        <is>
          <t>0.62</t>
        </is>
      </c>
      <c r="D12" s="16" t="inlineStr">
        <is>
          <t>1.46</t>
        </is>
      </c>
      <c r="E12" s="16" t="inlineStr">
        <is>
          <t>0.03</t>
        </is>
      </c>
      <c r="F12" s="16" t="inlineStr">
        <is>
          <t>1.00</t>
        </is>
      </c>
    </row>
    <row r="13" ht="26" customHeight="1">
      <c r="A13" s="16" t="inlineStr">
        <is>
          <t>Beta vs Nifty Energy / sector (COMPUTED)</t>
        </is>
      </c>
      <c r="B13" s="16" t="inlineStr">
        <is>
          <t>0.54</t>
        </is>
      </c>
      <c r="C13" s="16" t="inlineStr">
        <is>
          <t>0.03</t>
        </is>
      </c>
      <c r="D13" s="16" t="inlineStr">
        <is>
          <t>0.30</t>
        </is>
      </c>
      <c r="E13" s="16" t="inlineStr">
        <is>
          <t>1.00</t>
        </is>
      </c>
      <c r="F13" s="16" t="inlineStr">
        <is>
          <t>n/a</t>
        </is>
      </c>
    </row>
    <row r="14" ht="26" customHeight="1">
      <c r="A14" s="16" t="inlineStr">
        <is>
          <t>Return vs market (stock - Nifty 50)</t>
        </is>
      </c>
      <c r="B14" s="16" t="inlineStr">
        <is>
          <t>+87.7 pts</t>
        </is>
      </c>
      <c r="C14" s="16" t="inlineStr">
        <is>
          <t>-2.5 pts</t>
        </is>
      </c>
      <c r="D14" s="16" t="inlineStr">
        <is>
          <t>+10.3 pts</t>
        </is>
      </c>
      <c r="E14" s="16" t="inlineStr">
        <is>
          <t>+12.3 pts</t>
        </is>
      </c>
      <c r="F14" s="16" t="inlineStr">
        <is>
          <t>—</t>
        </is>
      </c>
    </row>
    <row r="15" ht="26" customHeight="1">
      <c r="A15" s="16" t="inlineStr">
        <is>
          <t>Return vs sector (stock - Nifty Energy)</t>
        </is>
      </c>
      <c r="B15" s="16" t="inlineStr">
        <is>
          <t>+75.4 pts</t>
        </is>
      </c>
      <c r="C15" s="16" t="inlineStr">
        <is>
          <t>-14.7 pts</t>
        </is>
      </c>
      <c r="D15" s="16" t="inlineStr">
        <is>
          <t>-1.9 pts</t>
        </is>
      </c>
      <c r="E15" s="16" t="inlineStr">
        <is>
          <t>—</t>
        </is>
      </c>
      <c r="F15" s="16" t="inlineStr">
        <is>
          <t>—</t>
        </is>
      </c>
    </row>
    <row r="17">
      <c r="A17" s="22" t="inlineStr">
        <is>
          <t>Data note</t>
        </is>
      </c>
    </row>
    <row r="18" ht="60" customHeight="1">
      <c r="A18" s="14"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0" t="inlineStr">
        <is>
          <t>Not quantified in sources found</t>
        </is>
      </c>
      <c r="D6" s="16" t="inlineStr"/>
    </row>
    <row r="7" ht="45" customHeight="1">
      <c r="A7" s="16" t="inlineStr">
        <is>
          <t>01-Aug-2025</t>
        </is>
      </c>
      <c r="B7" s="16" t="inlineStr">
        <is>
          <t>Q1 FY26 results: PAT ₹3,305 cr (down 15.5% YoY); 1:5 stock split announced</t>
        </is>
      </c>
      <c r="C7" s="20" t="inlineStr">
        <is>
          <t>Not quantified</t>
        </is>
      </c>
      <c r="D7" s="16" t="inlineStr"/>
    </row>
    <row r="8" ht="45" customHeight="1">
      <c r="A8" s="16" t="inlineStr">
        <is>
          <t>Sep-2025</t>
        </is>
      </c>
      <c r="B8" s="16" t="inlineStr">
        <is>
          <t>Adani Power–Druk Green (Bhutan) Shareholders Agreement — 570 MW Wangchhu hydro (~₹6,000 cr)</t>
        </is>
      </c>
      <c r="C8" s="20"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0"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0" t="inlineStr">
        <is>
          <t>Not quantified</t>
        </is>
      </c>
      <c r="D14" s="16" t="inlineStr"/>
    </row>
    <row r="15" ht="45" customHeight="1">
      <c r="A15" s="16" t="inlineStr">
        <is>
          <t>~Mar-2026</t>
        </is>
      </c>
      <c r="B15" s="16" t="inlineStr">
        <is>
          <t>NCLT approval of Jaiprakash Power Ventures resolution plan</t>
        </is>
      </c>
      <c r="C15" s="20" t="inlineStr">
        <is>
          <t>Not quantified</t>
        </is>
      </c>
      <c r="D15" s="16" t="inlineStr"/>
    </row>
    <row r="16" ht="45" customHeight="1">
      <c r="A16" s="16" t="inlineStr">
        <is>
          <t>29-Apr-2026</t>
        </is>
      </c>
      <c r="B16" s="16" t="inlineStr">
        <is>
          <t>Q4/FY26 results: Q4 PAT ₹4,271 cr (+64% YoY); FY26 PAT ₹12,971 cr vs ₹12,750 cr FY25</t>
        </is>
      </c>
      <c r="C16" s="20"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0"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23"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FY22-FY26, all three companies — still not filled; pull from NSE historical data or Yahoo Finance (split-adjust Adani Power for its Sep-2025 1:5 split).</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54-week adjusted-close series for all 3 stocks + Nifty 50 + Nifty Energy parsed from Yahoo HTML files in the repo; returns, volatility, and market &amp; sector betas computed in Sheet 11. Still open: year-end FY22-FY26 share prices for the Sheet 2 growth table.</t>
        </is>
      </c>
    </row>
    <row r="31" ht="30" customHeight="1">
      <c r="A31"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32" ht="30" customHeight="1">
      <c r="A32"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25" t="inlineStr">
        <is>
          <t>Sources: Adani Power Ltd Integrated Annual Reports FY22-23 (AR_22088), FY23-24 (AR_24072), FY24-25 (ADANIPOWER-2025) and FY25-26 (AR_29298) — 'Consolidated Balance Sheet' as at each year-end. NOTE: an earlier draft sheet in this workbook ('Sheet5') showed Adani Power's STANDALONE balance sheet mislabeled as consolidated — this sheet replaces it with genuine consolidated figures across the full FY22-FY26 window.</t>
        </is>
      </c>
    </row>
    <row r="4">
      <c r="A4" s="26" t="inlineStr">
        <is>
          <t>Particulars (₹ crore)</t>
        </is>
      </c>
      <c r="B4" s="27" t="inlineStr">
        <is>
          <t>Mar-2026</t>
        </is>
      </c>
      <c r="C4" s="27" t="inlineStr">
        <is>
          <t>Mar-2025</t>
        </is>
      </c>
      <c r="D4" s="27" t="inlineStr">
        <is>
          <t>Mar-2024</t>
        </is>
      </c>
      <c r="E4" s="27" t="inlineStr">
        <is>
          <t>Mar-2023</t>
        </is>
      </c>
      <c r="F4" s="27" t="inlineStr">
        <is>
          <t>Mar-2022</t>
        </is>
      </c>
    </row>
    <row r="5">
      <c r="A5" s="28" t="inlineStr">
        <is>
          <t>ASSETS</t>
        </is>
      </c>
      <c r="B5" s="11" t="n"/>
      <c r="C5" s="11" t="n"/>
      <c r="D5" s="11" t="n"/>
      <c r="E5" s="11" t="n"/>
      <c r="F5" s="11" t="n"/>
    </row>
    <row r="6">
      <c r="A6" s="28" t="inlineStr">
        <is>
          <t>Non-current Assets</t>
        </is>
      </c>
      <c r="B6" s="11" t="n"/>
      <c r="C6" s="11" t="n"/>
      <c r="D6" s="11" t="n"/>
      <c r="E6" s="11" t="n"/>
      <c r="F6" s="11" t="n"/>
    </row>
    <row r="7">
      <c r="A7" s="29" t="inlineStr">
        <is>
          <t>Property, Plant and Equipment</t>
        </is>
      </c>
      <c r="B7" s="30" t="n">
        <v>66814.60000000001</v>
      </c>
      <c r="C7" s="30" t="n">
        <v>66707.23</v>
      </c>
      <c r="D7" s="30" t="n">
        <v>62812.71</v>
      </c>
      <c r="E7" s="30" t="n">
        <v>50543.8</v>
      </c>
      <c r="F7" s="30" t="n">
        <v>53071.62</v>
      </c>
    </row>
    <row r="8">
      <c r="A8" s="29" t="inlineStr">
        <is>
          <t>Right-of-use Assets</t>
        </is>
      </c>
      <c r="B8" s="30" t="n">
        <v>2261.28</v>
      </c>
      <c r="C8" s="30" t="n">
        <v>2319.82</v>
      </c>
      <c r="D8" s="11" t="n"/>
      <c r="E8" s="11" t="n"/>
      <c r="F8" s="11" t="n"/>
    </row>
    <row r="9">
      <c r="A9" s="29" t="inlineStr">
        <is>
          <t>Capital Work-in-Progress</t>
        </is>
      </c>
      <c r="B9" s="30" t="n">
        <v>35053.46</v>
      </c>
      <c r="C9" s="30" t="n">
        <v>12104.42</v>
      </c>
      <c r="D9" s="30" t="n">
        <v>925.12</v>
      </c>
      <c r="E9" s="30" t="n">
        <v>12879.54</v>
      </c>
      <c r="F9" s="30" t="n">
        <v>10269.74</v>
      </c>
    </row>
    <row r="10">
      <c r="A10" s="29" t="inlineStr">
        <is>
          <t>Investment Property</t>
        </is>
      </c>
      <c r="B10" s="30" t="n">
        <v>92.25</v>
      </c>
      <c r="C10" s="30" t="n">
        <v>48.69</v>
      </c>
      <c r="D10" s="30" t="n">
        <v>0</v>
      </c>
      <c r="E10" s="30" t="n">
        <v>704.9400000000001</v>
      </c>
      <c r="F10" s="30" t="n">
        <v>0</v>
      </c>
    </row>
    <row r="11">
      <c r="A11" s="29" t="inlineStr">
        <is>
          <t>Goodwill</t>
        </is>
      </c>
      <c r="B11" s="30" t="n">
        <v>204.52</v>
      </c>
      <c r="C11" s="30" t="n">
        <v>204.52</v>
      </c>
      <c r="D11" s="30" t="n">
        <v>190.61</v>
      </c>
      <c r="E11" s="30" t="n">
        <v>190.61</v>
      </c>
      <c r="F11" s="30" t="n">
        <v>190.61</v>
      </c>
    </row>
    <row r="12">
      <c r="A12" s="29" t="inlineStr">
        <is>
          <t>Other Intangible Assets</t>
        </is>
      </c>
      <c r="B12" s="30" t="n">
        <v>28.81</v>
      </c>
      <c r="C12" s="30" t="n">
        <v>17.19</v>
      </c>
      <c r="D12" s="30" t="n">
        <v>12.53</v>
      </c>
      <c r="E12" s="30" t="n">
        <v>12.03</v>
      </c>
      <c r="F12" s="30" t="n">
        <v>11.98</v>
      </c>
    </row>
    <row r="13">
      <c r="A13" s="29" t="inlineStr">
        <is>
          <t>Investments (Non-current)</t>
        </is>
      </c>
      <c r="B13" s="30" t="n">
        <v>24.64</v>
      </c>
      <c r="C13" s="30" t="n">
        <v>59.51</v>
      </c>
      <c r="D13" s="30" t="n">
        <v>0.01</v>
      </c>
      <c r="E13" s="30" t="n">
        <v>42.51</v>
      </c>
      <c r="F13" s="30" t="n">
        <v>0.01</v>
      </c>
    </row>
    <row r="14">
      <c r="A14" s="29" t="inlineStr">
        <is>
          <t>Loans (Non-current)</t>
        </is>
      </c>
      <c r="B14" s="30" t="n">
        <v>7.5</v>
      </c>
      <c r="C14" s="11" t="n"/>
      <c r="D14" s="11" t="n"/>
      <c r="E14" s="11" t="n"/>
      <c r="F14" s="11" t="n"/>
    </row>
    <row r="15">
      <c r="A15" s="29" t="inlineStr">
        <is>
          <t>Other Financial Assets (Non-current)</t>
        </is>
      </c>
      <c r="B15" s="30" t="n">
        <v>690.36</v>
      </c>
      <c r="C15" s="30" t="n">
        <v>691.41</v>
      </c>
      <c r="D15" s="30" t="n">
        <v>636.2</v>
      </c>
      <c r="E15" s="30" t="n">
        <v>779.71</v>
      </c>
      <c r="F15" s="30" t="n">
        <v>856.04</v>
      </c>
    </row>
    <row r="16">
      <c r="A16" s="29" t="inlineStr">
        <is>
          <t>Non-current Tax Assets (Net)</t>
        </is>
      </c>
      <c r="B16" s="30" t="n">
        <v>192.06</v>
      </c>
      <c r="C16" s="30" t="n">
        <v>216.55</v>
      </c>
      <c r="D16" s="30" t="n">
        <v>365.72</v>
      </c>
      <c r="E16" s="11" t="n"/>
      <c r="F16" s="11" t="n"/>
    </row>
    <row r="17">
      <c r="A17" s="29" t="inlineStr">
        <is>
          <t>Deferred Tax Assets (Net)</t>
        </is>
      </c>
      <c r="B17" s="30" t="n">
        <v>811.39</v>
      </c>
      <c r="C17" s="30" t="n">
        <v>0</v>
      </c>
      <c r="D17" s="30" t="n">
        <v>376.34</v>
      </c>
      <c r="E17" s="30" t="n">
        <v>0</v>
      </c>
      <c r="F17" s="11" t="n"/>
    </row>
    <row r="18">
      <c r="A18" s="29" t="inlineStr">
        <is>
          <t>Other Non-current Assets</t>
        </is>
      </c>
      <c r="B18" s="30" t="n">
        <v>7410.97</v>
      </c>
      <c r="C18" s="30" t="n">
        <v>4219</v>
      </c>
      <c r="D18" s="30" t="n">
        <v>1418.95</v>
      </c>
      <c r="E18" s="30" t="n">
        <v>1115.13</v>
      </c>
      <c r="F18" s="30" t="n">
        <v>1352.95</v>
      </c>
    </row>
    <row r="19">
      <c r="A19" s="15" t="inlineStr">
        <is>
          <t>Total Non-current Assets</t>
        </is>
      </c>
      <c r="B19" s="31" t="n">
        <v>113591.84</v>
      </c>
      <c r="C19" s="31" t="n">
        <v>86588.34</v>
      </c>
      <c r="D19" s="31" t="n">
        <v>66738.19</v>
      </c>
      <c r="E19" s="31" t="n">
        <v>66268.27</v>
      </c>
      <c r="F19" s="31" t="n">
        <v>65752.95</v>
      </c>
    </row>
    <row r="20">
      <c r="A20" s="28" t="inlineStr">
        <is>
          <t>Current Assets</t>
        </is>
      </c>
      <c r="B20" s="11" t="n"/>
      <c r="C20" s="11" t="n"/>
      <c r="D20" s="11" t="n"/>
      <c r="E20" s="11" t="n"/>
      <c r="F20" s="11" t="n"/>
    </row>
    <row r="21">
      <c r="A21" s="29" t="inlineStr">
        <is>
          <t>Inventories</t>
        </is>
      </c>
      <c r="B21" s="30" t="n">
        <v>3623.48</v>
      </c>
      <c r="C21" s="30" t="n">
        <v>3317.28</v>
      </c>
      <c r="D21" s="30" t="n">
        <v>4142.1</v>
      </c>
      <c r="E21" s="30" t="n">
        <v>3075.2</v>
      </c>
      <c r="F21" s="30" t="n">
        <v>2258.27</v>
      </c>
    </row>
    <row r="22">
      <c r="A22" s="29" t="inlineStr">
        <is>
          <t>Investments (Current)</t>
        </is>
      </c>
      <c r="B22" s="30" t="n">
        <v>1491.35</v>
      </c>
      <c r="C22" s="30" t="n">
        <v>1037.7</v>
      </c>
      <c r="D22" s="30" t="n">
        <v>373.5</v>
      </c>
      <c r="E22" s="30" t="n">
        <v>611.54</v>
      </c>
      <c r="F22" s="30" t="n">
        <v>183.24</v>
      </c>
    </row>
    <row r="23">
      <c r="A23" s="29" t="inlineStr">
        <is>
          <t>Trade Receivables</t>
        </is>
      </c>
      <c r="B23" s="30" t="n">
        <v>11791.37</v>
      </c>
      <c r="C23" s="30" t="n">
        <v>13022.07</v>
      </c>
      <c r="D23" s="30" t="n">
        <v>11677.48</v>
      </c>
      <c r="E23" s="30" t="n">
        <v>11529.36</v>
      </c>
      <c r="F23" s="30" t="n">
        <v>9560.92</v>
      </c>
    </row>
    <row r="24">
      <c r="A24" s="29" t="inlineStr">
        <is>
          <t>Cash and Cash Equivalents</t>
        </is>
      </c>
      <c r="B24" s="30" t="n">
        <v>927.88</v>
      </c>
      <c r="C24" s="30" t="n">
        <v>319.86</v>
      </c>
      <c r="D24" s="30" t="n">
        <v>1136.25</v>
      </c>
      <c r="E24" s="30" t="n">
        <v>349.23</v>
      </c>
      <c r="F24" s="30" t="n">
        <v>782.37</v>
      </c>
    </row>
    <row r="25">
      <c r="A25" s="29" t="inlineStr">
        <is>
          <t>Bank Balances other than above</t>
        </is>
      </c>
      <c r="B25" s="30" t="n">
        <v>5998.44</v>
      </c>
      <c r="C25" s="30" t="n">
        <v>5800.02</v>
      </c>
      <c r="D25" s="30" t="n">
        <v>6075.51</v>
      </c>
      <c r="E25" s="30" t="n">
        <v>1524.42</v>
      </c>
      <c r="F25" s="30" t="n">
        <v>1582.31</v>
      </c>
    </row>
    <row r="26">
      <c r="A26" s="29" t="inlineStr">
        <is>
          <t>Loans (Current)</t>
        </is>
      </c>
      <c r="B26" s="30" t="n">
        <v>10.99</v>
      </c>
      <c r="C26" s="30" t="n">
        <v>6.82</v>
      </c>
      <c r="D26" s="30" t="n">
        <v>3.49</v>
      </c>
      <c r="E26" s="30" t="n">
        <v>3.19</v>
      </c>
      <c r="F26" s="30" t="n">
        <v>7.62</v>
      </c>
    </row>
    <row r="27">
      <c r="A27" s="29" t="inlineStr">
        <is>
          <t>Other Financial Assets (Current)</t>
        </is>
      </c>
      <c r="B27" s="30" t="n">
        <v>2161.97</v>
      </c>
      <c r="C27" s="30" t="n">
        <v>887.51</v>
      </c>
      <c r="D27" s="30" t="n">
        <v>435.82</v>
      </c>
      <c r="E27" s="30" t="n">
        <v>557.5</v>
      </c>
      <c r="F27" s="30" t="n">
        <v>308.28</v>
      </c>
    </row>
    <row r="28">
      <c r="A28" s="29" t="inlineStr">
        <is>
          <t>Current Tax Assets (Net)</t>
        </is>
      </c>
      <c r="B28" s="30" t="n">
        <v>0</v>
      </c>
      <c r="C28" s="30" t="n">
        <v>196.41</v>
      </c>
      <c r="D28" s="30" t="n">
        <v>0</v>
      </c>
      <c r="E28" s="11" t="n"/>
      <c r="F28" s="11" t="n"/>
    </row>
    <row r="29">
      <c r="A29" s="29" t="inlineStr">
        <is>
          <t>Other Current Assets</t>
        </is>
      </c>
      <c r="B29" s="30" t="n">
        <v>2682.6</v>
      </c>
      <c r="C29" s="30" t="n">
        <v>1725.78</v>
      </c>
      <c r="D29" s="30" t="n">
        <v>1742.43</v>
      </c>
      <c r="E29" s="30" t="n">
        <v>1902.56</v>
      </c>
      <c r="F29" s="30" t="n">
        <v>1545.06</v>
      </c>
    </row>
    <row r="30">
      <c r="A30" s="15" t="inlineStr">
        <is>
          <t>Total Current Assets</t>
        </is>
      </c>
      <c r="B30" s="31" t="n">
        <v>28688.08</v>
      </c>
      <c r="C30" s="31" t="n">
        <v>26313.45</v>
      </c>
      <c r="D30" s="31" t="n">
        <v>25586.58</v>
      </c>
      <c r="E30" s="31" t="n">
        <v>19553</v>
      </c>
      <c r="F30" s="31" t="n">
        <v>16228.07</v>
      </c>
    </row>
    <row r="31">
      <c r="A31" s="29" t="inlineStr">
        <is>
          <t>Assets Classified as Held for Sale</t>
        </is>
      </c>
      <c r="B31" s="30" t="n">
        <v>0</v>
      </c>
      <c r="C31" s="30" t="n">
        <v>15.78</v>
      </c>
      <c r="D31" s="30" t="n">
        <v>0</v>
      </c>
      <c r="E31" s="11" t="n"/>
      <c r="F31" s="11" t="n"/>
    </row>
    <row r="32">
      <c r="A32" s="15" t="inlineStr">
        <is>
          <t>TOTAL ASSETS</t>
        </is>
      </c>
      <c r="B32" s="31" t="n">
        <v>142279.92</v>
      </c>
      <c r="C32" s="31" t="n">
        <v>112917.57</v>
      </c>
      <c r="D32" s="31" t="n">
        <v>92324.77</v>
      </c>
      <c r="E32" s="31" t="n">
        <v>85821.27</v>
      </c>
      <c r="F32" s="31" t="n">
        <v>81981.02</v>
      </c>
    </row>
    <row r="33">
      <c r="A33" s="28" t="inlineStr">
        <is>
          <t>EQUITY AND LIABILITIES</t>
        </is>
      </c>
      <c r="B33" s="11" t="n"/>
      <c r="C33" s="11" t="n"/>
      <c r="D33" s="11" t="n"/>
      <c r="E33" s="11" t="n"/>
      <c r="F33" s="11" t="n"/>
    </row>
    <row r="34">
      <c r="A34" s="29" t="inlineStr">
        <is>
          <t>Equity Share Capital</t>
        </is>
      </c>
      <c r="B34" s="30" t="n">
        <v>3856.94</v>
      </c>
      <c r="C34" s="30" t="n">
        <v>3856.94</v>
      </c>
      <c r="D34" s="30" t="n">
        <v>3856.94</v>
      </c>
      <c r="E34" s="30" t="n">
        <v>3856.94</v>
      </c>
      <c r="F34" s="30" t="n">
        <v>3856.94</v>
      </c>
    </row>
    <row r="35">
      <c r="A35" s="29" t="inlineStr">
        <is>
          <t>Instrument entirely Equity in nature / Unsecured Perpetual Securities</t>
        </is>
      </c>
      <c r="B35" s="30" t="n">
        <v>0</v>
      </c>
      <c r="C35" s="30" t="n">
        <v>3056.92</v>
      </c>
      <c r="D35" s="30" t="n">
        <v>7315</v>
      </c>
      <c r="E35" s="30" t="n">
        <v>13215</v>
      </c>
      <c r="F35" s="30" t="n">
        <v>13215</v>
      </c>
    </row>
    <row r="36">
      <c r="A36" s="29" t="inlineStr">
        <is>
          <t>Other Equity</t>
        </is>
      </c>
      <c r="B36" s="30" t="n">
        <v>61079.94</v>
      </c>
      <c r="C36" s="30" t="n">
        <v>49433.23</v>
      </c>
      <c r="D36" s="30" t="n">
        <v>31973.09</v>
      </c>
      <c r="E36" s="30" t="n">
        <v>12803.72</v>
      </c>
      <c r="F36" s="30" t="n">
        <v>1631.5</v>
      </c>
    </row>
    <row r="37">
      <c r="A37" s="29" t="inlineStr">
        <is>
          <t>Equity attributable to equity holders of the parent</t>
        </is>
      </c>
      <c r="B37" s="30" t="n">
        <v>64936.88</v>
      </c>
      <c r="C37" s="30" t="n">
        <v>56347.09</v>
      </c>
      <c r="D37" s="30" t="n">
        <v>43145.03</v>
      </c>
      <c r="E37" s="30" t="n">
        <v>29875.66</v>
      </c>
      <c r="F37" s="30" t="n">
        <v>18703.44</v>
      </c>
    </row>
    <row r="38">
      <c r="A38" s="29" t="inlineStr">
        <is>
          <t>Non-Controlling Interests</t>
        </is>
      </c>
      <c r="B38" s="30" t="n">
        <v>1465.04</v>
      </c>
      <c r="C38" s="30" t="n">
        <v>1326.47</v>
      </c>
      <c r="D38" s="30" t="n">
        <v>0</v>
      </c>
      <c r="E38" s="30" t="n">
        <v>0</v>
      </c>
      <c r="F38" s="30" t="n">
        <v>0</v>
      </c>
    </row>
    <row r="39">
      <c r="A39" s="15" t="inlineStr">
        <is>
          <t>Total Equity</t>
        </is>
      </c>
      <c r="B39" s="31" t="n">
        <v>66401.92</v>
      </c>
      <c r="C39" s="31" t="n">
        <v>57673.56</v>
      </c>
      <c r="D39" s="31" t="n">
        <v>43145.03</v>
      </c>
      <c r="E39" s="31" t="n">
        <v>29875.66</v>
      </c>
      <c r="F39" s="31" t="n">
        <v>18703.44</v>
      </c>
    </row>
    <row r="40">
      <c r="A40" s="28" t="inlineStr">
        <is>
          <t>Non-current Liabilities</t>
        </is>
      </c>
      <c r="B40" s="11" t="n"/>
      <c r="C40" s="11" t="n"/>
      <c r="D40" s="11" t="n"/>
      <c r="E40" s="11" t="n"/>
      <c r="F40" s="11" t="n"/>
    </row>
    <row r="41">
      <c r="A41" s="29" t="inlineStr">
        <is>
          <t>Borrowings (Non-current)</t>
        </is>
      </c>
      <c r="B41" s="30" t="n">
        <v>42829.6</v>
      </c>
      <c r="C41" s="30" t="n">
        <v>27646.96</v>
      </c>
      <c r="D41" s="30" t="n">
        <v>26595.01</v>
      </c>
      <c r="E41" s="30" t="n">
        <v>33702.6</v>
      </c>
      <c r="F41" s="30" t="n">
        <v>37871.32</v>
      </c>
    </row>
    <row r="42">
      <c r="A42" s="29" t="inlineStr">
        <is>
          <t>Lease Liabilities (Non-current)</t>
        </is>
      </c>
      <c r="B42" s="30" t="n">
        <v>1049.27</v>
      </c>
      <c r="C42" s="30" t="n">
        <v>1094.04</v>
      </c>
      <c r="D42" s="30" t="n">
        <v>143.11</v>
      </c>
      <c r="E42" s="30" t="n">
        <v>88.31999999999999</v>
      </c>
      <c r="F42" s="30" t="n">
        <v>94.36</v>
      </c>
    </row>
    <row r="43">
      <c r="A43" s="29" t="inlineStr">
        <is>
          <t>Other Financial Liabilities (Non-current)</t>
        </is>
      </c>
      <c r="B43" s="30" t="n">
        <v>185.69</v>
      </c>
      <c r="C43" s="30" t="n">
        <v>1.17</v>
      </c>
      <c r="D43" s="30" t="n">
        <v>1.07</v>
      </c>
      <c r="E43" s="30" t="n">
        <v>0</v>
      </c>
      <c r="F43" s="30" t="n">
        <v>960.37</v>
      </c>
    </row>
    <row r="44">
      <c r="A44" s="29" t="inlineStr">
        <is>
          <t>Provisions (Non-current)</t>
        </is>
      </c>
      <c r="B44" s="30" t="n">
        <v>359.9</v>
      </c>
      <c r="C44" s="30" t="n">
        <v>339.64</v>
      </c>
      <c r="D44" s="30" t="n">
        <v>237.45</v>
      </c>
      <c r="E44" s="30" t="n">
        <v>226.95</v>
      </c>
      <c r="F44" s="30" t="n">
        <v>220.87</v>
      </c>
    </row>
    <row r="45">
      <c r="A45" s="29" t="inlineStr">
        <is>
          <t>Deferred Tax Liabilities (Net)</t>
        </is>
      </c>
      <c r="B45" s="30" t="n">
        <v>5827.15</v>
      </c>
      <c r="C45" s="30" t="n">
        <v>4022.73</v>
      </c>
      <c r="D45" s="30" t="n">
        <v>315.8</v>
      </c>
      <c r="E45" s="30" t="n">
        <v>0</v>
      </c>
      <c r="F45" s="30" t="n">
        <v>2499.78</v>
      </c>
    </row>
    <row r="46">
      <c r="A46" s="29" t="inlineStr">
        <is>
          <t>Other Non-current Liabilities</t>
        </is>
      </c>
      <c r="B46" s="30" t="n">
        <v>5298.18</v>
      </c>
      <c r="C46" s="30" t="n">
        <v>5698.48</v>
      </c>
      <c r="D46" s="30" t="n">
        <v>6098.63</v>
      </c>
      <c r="E46" s="30" t="n">
        <v>4183.15</v>
      </c>
      <c r="F46" s="30" t="n">
        <v>4487.21</v>
      </c>
    </row>
    <row r="47">
      <c r="A47" s="15" t="inlineStr">
        <is>
          <t>Total Non-current Liabilities</t>
        </is>
      </c>
      <c r="B47" s="31" t="n">
        <v>55549.79</v>
      </c>
      <c r="C47" s="31" t="n">
        <v>38803.02</v>
      </c>
      <c r="D47" s="31" t="n">
        <v>33391.07</v>
      </c>
      <c r="E47" s="31" t="n">
        <v>38201.02</v>
      </c>
      <c r="F47" s="31" t="n">
        <v>46133.91</v>
      </c>
    </row>
    <row r="48">
      <c r="A48" s="28" t="inlineStr">
        <is>
          <t>Current Liabilities</t>
        </is>
      </c>
      <c r="B48" s="11" t="n"/>
      <c r="C48" s="11" t="n"/>
      <c r="D48" s="11" t="n"/>
      <c r="E48" s="11" t="n"/>
      <c r="F48" s="11" t="n"/>
    </row>
    <row r="49">
      <c r="A49" s="29" t="inlineStr">
        <is>
          <t>Borrowings (Current)</t>
        </is>
      </c>
      <c r="B49" s="30" t="n">
        <v>10725.94</v>
      </c>
      <c r="C49" s="30" t="n">
        <v>10687.92</v>
      </c>
      <c r="D49" s="30" t="n">
        <v>7861.85</v>
      </c>
      <c r="E49" s="30" t="n">
        <v>8549.450000000001</v>
      </c>
      <c r="F49" s="30" t="n">
        <v>10924.36</v>
      </c>
    </row>
    <row r="50">
      <c r="A50" s="29" t="inlineStr">
        <is>
          <t>Lease Liabilities (Current)</t>
        </is>
      </c>
      <c r="B50" s="30" t="n">
        <v>65.48</v>
      </c>
      <c r="C50" s="30" t="n">
        <v>65.95</v>
      </c>
      <c r="D50" s="30" t="n">
        <v>15.59</v>
      </c>
      <c r="E50" s="30" t="n">
        <v>9.16</v>
      </c>
      <c r="F50" s="30" t="n">
        <v>8.390000000000001</v>
      </c>
    </row>
    <row r="51">
      <c r="A51" s="29" t="inlineStr">
        <is>
          <t>Trade Payables — micro/small enterprises</t>
        </is>
      </c>
      <c r="B51" s="30" t="n">
        <v>183.98</v>
      </c>
      <c r="C51" s="30" t="n">
        <v>215.73</v>
      </c>
      <c r="D51" s="30" t="n">
        <v>141.93</v>
      </c>
      <c r="E51" s="30" t="n">
        <v>95.76000000000001</v>
      </c>
      <c r="F51" s="30" t="n">
        <v>57.59</v>
      </c>
    </row>
    <row r="52">
      <c r="A52" s="29" t="inlineStr">
        <is>
          <t>Trade Payables — other creditors</t>
        </is>
      </c>
      <c r="B52" s="30" t="n">
        <v>2656.55</v>
      </c>
      <c r="C52" s="30" t="n">
        <v>2761.93</v>
      </c>
      <c r="D52" s="30" t="n">
        <v>3494.37</v>
      </c>
      <c r="E52" s="30" t="n">
        <v>2983.69</v>
      </c>
      <c r="F52" s="30" t="n">
        <v>3450.62</v>
      </c>
    </row>
    <row r="53">
      <c r="A53" s="29" t="inlineStr">
        <is>
          <t>Other Financial Liabilities (Current)</t>
        </is>
      </c>
      <c r="B53" s="30" t="n">
        <v>4049.65</v>
      </c>
      <c r="C53" s="30" t="n">
        <v>1230.62</v>
      </c>
      <c r="D53" s="30" t="n">
        <v>2089.8</v>
      </c>
      <c r="E53" s="30" t="n">
        <v>2461.58</v>
      </c>
      <c r="F53" s="30" t="n">
        <v>1167.32</v>
      </c>
    </row>
    <row r="54">
      <c r="A54" s="29" t="inlineStr">
        <is>
          <t>Other Current Liabilities</t>
        </is>
      </c>
      <c r="B54" s="30" t="n">
        <v>994.38</v>
      </c>
      <c r="C54" s="30" t="n">
        <v>1348.74</v>
      </c>
      <c r="D54" s="30" t="n">
        <v>2159.44</v>
      </c>
      <c r="E54" s="30" t="n">
        <v>3622.82</v>
      </c>
      <c r="F54" s="30" t="n">
        <v>861.36</v>
      </c>
    </row>
    <row r="55">
      <c r="A55" s="29" t="inlineStr">
        <is>
          <t>Provisions (Current)</t>
        </is>
      </c>
      <c r="B55" s="30" t="n">
        <v>96.95999999999999</v>
      </c>
      <c r="C55" s="30" t="n">
        <v>70.23999999999999</v>
      </c>
      <c r="D55" s="30" t="n">
        <v>25.69</v>
      </c>
      <c r="E55" s="30" t="n">
        <v>21.64</v>
      </c>
      <c r="F55" s="30" t="n">
        <v>28.71</v>
      </c>
    </row>
    <row r="56">
      <c r="A56" s="29" t="inlineStr">
        <is>
          <t>Current Tax Liabilities (Net)</t>
        </is>
      </c>
      <c r="B56" s="30" t="n">
        <v>1555.27</v>
      </c>
      <c r="C56" s="30" t="n">
        <v>59.86</v>
      </c>
      <c r="D56" s="30" t="n">
        <v>0</v>
      </c>
      <c r="E56" s="30" t="n">
        <v>0.49</v>
      </c>
      <c r="F56" s="30" t="n">
        <v>645.3200000000001</v>
      </c>
    </row>
    <row r="57">
      <c r="A57" s="15" t="inlineStr">
        <is>
          <t>Total Current Liabilities</t>
        </is>
      </c>
      <c r="B57" s="31" t="n">
        <v>20328.21</v>
      </c>
      <c r="C57" s="31" t="n">
        <v>16440.99</v>
      </c>
      <c r="D57" s="31" t="n">
        <v>15788.67</v>
      </c>
      <c r="E57" s="31" t="n">
        <v>17744.59</v>
      </c>
      <c r="F57" s="31" t="n">
        <v>17143.67</v>
      </c>
    </row>
    <row r="58">
      <c r="A58" s="15" t="inlineStr">
        <is>
          <t>Total Liabilities</t>
        </is>
      </c>
      <c r="B58" s="31" t="n">
        <v>75878</v>
      </c>
      <c r="C58" s="31" t="n">
        <v>55244.01</v>
      </c>
      <c r="D58" s="31" t="n">
        <v>49179.74</v>
      </c>
      <c r="E58" s="31" t="n">
        <v>55945.61</v>
      </c>
      <c r="F58" s="31" t="n">
        <v>63277.58</v>
      </c>
    </row>
    <row r="59">
      <c r="A59" s="15" t="inlineStr">
        <is>
          <t>TOTAL EQUITY AND LIABILITIES</t>
        </is>
      </c>
      <c r="B59" s="31" t="n">
        <v>142279.92</v>
      </c>
      <c r="C59" s="31" t="n">
        <v>112917.57</v>
      </c>
      <c r="D59" s="31" t="n">
        <v>92324.77</v>
      </c>
      <c r="E59" s="31" t="n">
        <v>85821.27</v>
      </c>
      <c r="F59" s="31" t="n">
        <v>81981.02</v>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25" t="inlineStr">
        <is>
          <t>Sources: Adani Power Ltd Integrated Annual Reports FY22-23, FY23-24, FY24-25 and FY25-26 — 'Consolidated Statement of Profit and Loss' for each year ended. NOTE: replaces an earlier draft sheet ('Consolidated Profit and loss st...') that was mislabeled and actually contained Adani Power's STANDALONE figures (PAT ₹10,246.15cr FY23) — the genuine consolidated PAT is ₹10,726.64cr.</t>
        </is>
      </c>
    </row>
    <row r="4">
      <c r="A4" s="26" t="inlineStr">
        <is>
          <t>Particulars (₹ crore)</t>
        </is>
      </c>
      <c r="B4" s="27" t="inlineStr">
        <is>
          <t>FY 2025-26</t>
        </is>
      </c>
      <c r="C4" s="27" t="inlineStr">
        <is>
          <t>FY 2024-25</t>
        </is>
      </c>
      <c r="D4" s="27" t="inlineStr">
        <is>
          <t>FY 2023-24</t>
        </is>
      </c>
      <c r="E4" s="27" t="inlineStr">
        <is>
          <t>FY 2022-23</t>
        </is>
      </c>
      <c r="F4" s="27" t="inlineStr">
        <is>
          <t>FY 2021-22</t>
        </is>
      </c>
    </row>
    <row r="5">
      <c r="A5" s="28" t="inlineStr">
        <is>
          <t>Income</t>
        </is>
      </c>
      <c r="B5" s="11" t="n"/>
      <c r="C5" s="11" t="n"/>
      <c r="D5" s="11" t="n"/>
      <c r="E5" s="11" t="n"/>
      <c r="F5" s="11" t="n"/>
    </row>
    <row r="6">
      <c r="A6" s="29" t="inlineStr">
        <is>
          <t>Revenue from Operations</t>
        </is>
      </c>
      <c r="B6" s="30" t="n">
        <v>54240.52</v>
      </c>
      <c r="C6" s="30" t="n">
        <v>56203.09</v>
      </c>
      <c r="D6" s="30" t="n">
        <v>50351.25</v>
      </c>
      <c r="E6" s="30" t="n">
        <v>38773.3</v>
      </c>
      <c r="F6" s="30" t="n">
        <v>27711.18</v>
      </c>
    </row>
    <row r="7">
      <c r="A7" s="29" t="inlineStr">
        <is>
          <t>Other Income</t>
        </is>
      </c>
      <c r="B7" s="30" t="n">
        <v>3624.76</v>
      </c>
      <c r="C7" s="30" t="n">
        <v>2702.74</v>
      </c>
      <c r="D7" s="30" t="n">
        <v>9930.23</v>
      </c>
      <c r="E7" s="30" t="n">
        <v>4267.22</v>
      </c>
      <c r="F7" s="30" t="n">
        <v>3975.29</v>
      </c>
    </row>
    <row r="8">
      <c r="A8" s="15" t="inlineStr">
        <is>
          <t>Total Income</t>
        </is>
      </c>
      <c r="B8" s="31" t="n">
        <v>57865.28</v>
      </c>
      <c r="C8" s="31" t="n">
        <v>58905.83</v>
      </c>
      <c r="D8" s="31" t="n">
        <v>60281.48</v>
      </c>
      <c r="E8" s="31" t="n">
        <v>43040.52</v>
      </c>
      <c r="F8" s="31" t="n">
        <v>31686.47</v>
      </c>
    </row>
    <row r="9">
      <c r="A9" s="28" t="inlineStr">
        <is>
          <t>Expenses</t>
        </is>
      </c>
      <c r="B9" s="11" t="n"/>
      <c r="C9" s="11" t="n"/>
      <c r="D9" s="11" t="n"/>
      <c r="E9" s="11" t="n"/>
      <c r="F9" s="11" t="n"/>
    </row>
    <row r="10">
      <c r="A10" s="29" t="inlineStr">
        <is>
          <t>Fuel Cost</t>
        </is>
      </c>
      <c r="B10" s="30" t="n">
        <v>29168.02</v>
      </c>
      <c r="C10" s="30" t="n">
        <v>30273.25</v>
      </c>
      <c r="D10" s="30" t="n">
        <v>28452.64</v>
      </c>
      <c r="E10" s="30" t="n">
        <v>25480.85</v>
      </c>
      <c r="F10" s="30" t="n">
        <v>14762.21</v>
      </c>
    </row>
    <row r="11">
      <c r="A11" s="29" t="inlineStr">
        <is>
          <t>Purchase of Stock-in-trade / Power for resale</t>
        </is>
      </c>
      <c r="B11" s="30" t="n">
        <v>209.66</v>
      </c>
      <c r="C11" s="30" t="n">
        <v>356.99</v>
      </c>
      <c r="D11" s="30" t="n">
        <v>222.26</v>
      </c>
      <c r="E11" s="30" t="n">
        <v>214.14</v>
      </c>
      <c r="F11" s="30" t="n">
        <v>545.5599999999999</v>
      </c>
    </row>
    <row r="12">
      <c r="A12" s="29" t="inlineStr">
        <is>
          <t>Transmission Charges</t>
        </is>
      </c>
      <c r="B12" s="30" t="n">
        <v>557.42</v>
      </c>
      <c r="C12" s="30" t="n">
        <v>459.09</v>
      </c>
      <c r="D12" s="30" t="n">
        <v>503.99</v>
      </c>
      <c r="E12" s="30" t="n">
        <v>519.61</v>
      </c>
      <c r="F12" s="30" t="n">
        <v>642.77</v>
      </c>
    </row>
    <row r="13">
      <c r="A13" s="29" t="inlineStr">
        <is>
          <t>Employee Benefits Expense</t>
        </is>
      </c>
      <c r="B13" s="30" t="n">
        <v>855.1799999999999</v>
      </c>
      <c r="C13" s="30" t="n">
        <v>784.4</v>
      </c>
      <c r="D13" s="30" t="n">
        <v>643.7</v>
      </c>
      <c r="E13" s="30" t="n">
        <v>569.99</v>
      </c>
      <c r="F13" s="30" t="n">
        <v>470.31</v>
      </c>
    </row>
    <row r="14">
      <c r="A14" s="29" t="inlineStr">
        <is>
          <t>Finance Costs (net)</t>
        </is>
      </c>
      <c r="B14" s="30" t="n">
        <v>3366.83</v>
      </c>
      <c r="C14" s="30" t="n">
        <v>3339.79</v>
      </c>
      <c r="D14" s="30" t="n">
        <v>3388.09</v>
      </c>
      <c r="E14" s="30" t="n">
        <v>3333.5</v>
      </c>
      <c r="F14" s="30" t="n">
        <v>4094.78</v>
      </c>
    </row>
    <row r="15">
      <c r="A15" s="29" t="inlineStr">
        <is>
          <t>Depreciation and Amortisation Expense</t>
        </is>
      </c>
      <c r="B15" s="30" t="n">
        <v>4564.53</v>
      </c>
      <c r="C15" s="30" t="n">
        <v>4308.88</v>
      </c>
      <c r="D15" s="30" t="n">
        <v>3931.33</v>
      </c>
      <c r="E15" s="30" t="n">
        <v>3303.68</v>
      </c>
      <c r="F15" s="30" t="n">
        <v>3117.54</v>
      </c>
    </row>
    <row r="16">
      <c r="A16" s="29" t="inlineStr">
        <is>
          <t>Other Expenses</t>
        </is>
      </c>
      <c r="B16" s="30" t="n">
        <v>3644.13</v>
      </c>
      <c r="C16" s="30" t="n">
        <v>3023.92</v>
      </c>
      <c r="D16" s="30" t="n">
        <v>2347.96</v>
      </c>
      <c r="E16" s="30" t="n">
        <v>1944.05</v>
      </c>
      <c r="F16" s="30" t="n">
        <v>1476.17</v>
      </c>
    </row>
    <row r="17">
      <c r="A17" s="15" t="inlineStr">
        <is>
          <t>Total Expenses</t>
        </is>
      </c>
      <c r="B17" s="31" t="n">
        <v>42365.77</v>
      </c>
      <c r="C17" s="31" t="n">
        <v>42546.32</v>
      </c>
      <c r="D17" s="31" t="n">
        <v>39489.97</v>
      </c>
      <c r="E17" s="31" t="n">
        <v>35365.82</v>
      </c>
      <c r="F17" s="31" t="n">
        <v>25109.34</v>
      </c>
    </row>
    <row r="18">
      <c r="A18" s="29" t="inlineStr">
        <is>
          <t>Profit before share of JV profit and tax</t>
        </is>
      </c>
      <c r="B18" s="30" t="n">
        <v>15499.51</v>
      </c>
      <c r="C18" s="30" t="n">
        <v>16359.51</v>
      </c>
      <c r="D18" s="30" t="n">
        <v>20791.51</v>
      </c>
      <c r="E18" s="30" t="n">
        <v>7674.7</v>
      </c>
      <c r="F18" s="30" t="n">
        <v>6577.13</v>
      </c>
    </row>
    <row r="19">
      <c r="A19" s="29" t="inlineStr">
        <is>
          <t>Total Tax Expense/(Credit)</t>
        </is>
      </c>
      <c r="B19" s="30" t="n">
        <v>2528.43</v>
      </c>
      <c r="C19" s="30" t="n">
        <v>3609.9</v>
      </c>
      <c r="D19" s="30" t="n">
        <v>-37.28</v>
      </c>
      <c r="E19" s="30" t="n">
        <v>-3267.37</v>
      </c>
      <c r="F19" s="30" t="n">
        <v>1744.8</v>
      </c>
    </row>
    <row r="20">
      <c r="A20" s="29" t="inlineStr">
        <is>
          <t>Add: Deferred tax (adj.)/recoverable from future tariff (net of tax)</t>
        </is>
      </c>
      <c r="B20" s="11" t="n"/>
      <c r="C20" s="11" t="n"/>
      <c r="D20" s="30" t="n">
        <v>0</v>
      </c>
      <c r="E20" s="30" t="n">
        <v>-215.43</v>
      </c>
      <c r="F20" s="30" t="n">
        <v>79.25</v>
      </c>
    </row>
    <row r="21">
      <c r="A21" s="15" t="inlineStr">
        <is>
          <t>Profit for the Year (PAT, consolidated)</t>
        </is>
      </c>
      <c r="B21" s="31" t="n">
        <v>12971.08</v>
      </c>
      <c r="C21" s="31" t="n">
        <v>12749.61</v>
      </c>
      <c r="D21" s="31" t="n">
        <v>20828.79</v>
      </c>
      <c r="E21" s="31" t="n">
        <v>10726.64</v>
      </c>
      <c r="F21" s="31" t="n">
        <v>4911.58</v>
      </c>
    </row>
    <row r="22">
      <c r="A22" s="29" t="inlineStr">
        <is>
          <t>Other Comprehensive Income, net of tax</t>
        </is>
      </c>
      <c r="B22" s="30" t="n">
        <v>19.67</v>
      </c>
      <c r="C22" s="30" t="n">
        <v>-2.69</v>
      </c>
      <c r="D22" s="30" t="n">
        <v>-27.49</v>
      </c>
      <c r="E22" s="30" t="n">
        <v>33.74</v>
      </c>
      <c r="F22" s="30" t="n">
        <v>43.63</v>
      </c>
    </row>
    <row r="23">
      <c r="A23" s="15" t="inlineStr">
        <is>
          <t>Total Comprehensive Income for the Year</t>
        </is>
      </c>
      <c r="B23" s="31" t="n">
        <v>12990.75</v>
      </c>
      <c r="C23" s="31" t="n">
        <v>12746.92</v>
      </c>
      <c r="D23" s="31" t="n">
        <v>20801.3</v>
      </c>
      <c r="E23" s="31" t="n">
        <v>10760.38</v>
      </c>
      <c r="F23" s="31" t="n">
        <v>4955.21</v>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25" t="inlineStr">
        <is>
          <t>Sources: Tata Power Integrated Annual Reports FY21-22 (AR_20052), FY23-24 (AR_24164) and FY25-26 (AR_29380) — 'Consolidated Balance Sheet' as at each year-end. Fills the FY24/FY25 gaps left blank in the team's original 'Tata Power' draft sheet; FY22/23/26 figures cross-checked and match.</t>
        </is>
      </c>
    </row>
    <row r="4">
      <c r="A4" s="26" t="inlineStr">
        <is>
          <t>Particulars (₹ crore)</t>
        </is>
      </c>
      <c r="B4" s="27" t="inlineStr">
        <is>
          <t>Mar-2026</t>
        </is>
      </c>
      <c r="C4" s="27" t="inlineStr">
        <is>
          <t>Mar-2025</t>
        </is>
      </c>
      <c r="D4" s="27" t="inlineStr">
        <is>
          <t>Mar-2024</t>
        </is>
      </c>
      <c r="E4" s="27" t="inlineStr">
        <is>
          <t>Mar-2023</t>
        </is>
      </c>
      <c r="F4" s="27" t="inlineStr">
        <is>
          <t>Mar-2022</t>
        </is>
      </c>
    </row>
    <row r="5">
      <c r="A5" s="28" t="inlineStr">
        <is>
          <t>ASSETS</t>
        </is>
      </c>
      <c r="B5" s="11" t="n"/>
      <c r="C5" s="11" t="n"/>
      <c r="D5" s="11" t="n"/>
      <c r="E5" s="11" t="n"/>
      <c r="F5" s="11" t="n"/>
    </row>
    <row r="6">
      <c r="A6" s="28" t="inlineStr">
        <is>
          <t>Non-current Assets</t>
        </is>
      </c>
      <c r="B6" s="11" t="n"/>
      <c r="C6" s="11" t="n"/>
      <c r="D6" s="11" t="n"/>
      <c r="E6" s="11" t="n"/>
      <c r="F6" s="11" t="n"/>
    </row>
    <row r="7">
      <c r="A7" s="29" t="inlineStr">
        <is>
          <t>Property, Plant and Equipment</t>
        </is>
      </c>
      <c r="B7" s="30" t="n">
        <v>78870.53999999999</v>
      </c>
      <c r="C7" s="30" t="n">
        <v>70261.38</v>
      </c>
      <c r="D7" s="30" t="n">
        <v>59624.06</v>
      </c>
      <c r="E7" s="30" t="n">
        <v>54524.96</v>
      </c>
      <c r="F7" s="30" t="n">
        <v>50502.96</v>
      </c>
    </row>
    <row r="8">
      <c r="A8" s="29" t="inlineStr">
        <is>
          <t>Right of Use Assets</t>
        </is>
      </c>
      <c r="B8" s="30" t="n">
        <v>5525.44</v>
      </c>
      <c r="C8" s="30" t="n">
        <v>5089.89</v>
      </c>
      <c r="D8" s="30" t="n">
        <v>4368.75</v>
      </c>
      <c r="E8" s="30" t="n">
        <v>3982.05</v>
      </c>
      <c r="F8" s="30" t="n">
        <v>3661.99</v>
      </c>
    </row>
    <row r="9">
      <c r="A9" s="29" t="inlineStr">
        <is>
          <t>Capital Work-in-Progress</t>
        </is>
      </c>
      <c r="B9" s="30" t="n">
        <v>14595.13</v>
      </c>
      <c r="C9" s="30" t="n">
        <v>12678.87</v>
      </c>
      <c r="D9" s="30" t="n">
        <v>11561.31</v>
      </c>
      <c r="E9" s="30" t="n">
        <v>5376.36</v>
      </c>
      <c r="F9" s="30" t="n">
        <v>4635.1</v>
      </c>
    </row>
    <row r="10">
      <c r="A10" s="29" t="inlineStr">
        <is>
          <t>Goodwill</t>
        </is>
      </c>
      <c r="B10" s="30" t="n">
        <v>1651.46</v>
      </c>
      <c r="C10" s="30" t="n">
        <v>1651.46</v>
      </c>
      <c r="D10" s="30" t="n">
        <v>1757.46</v>
      </c>
      <c r="E10" s="30" t="n">
        <v>1858.31</v>
      </c>
      <c r="F10" s="30" t="n">
        <v>1858.31</v>
      </c>
    </row>
    <row r="11">
      <c r="A11" s="29" t="inlineStr">
        <is>
          <t>Other Intangible Assets</t>
        </is>
      </c>
      <c r="B11" s="30" t="n">
        <v>1245.25</v>
      </c>
      <c r="C11" s="30" t="n">
        <v>1371.7</v>
      </c>
      <c r="D11" s="30" t="n">
        <v>1459.29</v>
      </c>
      <c r="E11" s="30" t="n">
        <v>1381.34</v>
      </c>
      <c r="F11" s="30" t="n">
        <v>1366.18</v>
      </c>
    </row>
    <row r="12">
      <c r="A12" s="29" t="inlineStr">
        <is>
          <t>Investments accounted for using Equity Method</t>
        </is>
      </c>
      <c r="B12" s="30" t="n">
        <v>13549.05</v>
      </c>
      <c r="C12" s="30" t="n">
        <v>12894.22</v>
      </c>
      <c r="D12" s="30" t="n">
        <v>12983.51</v>
      </c>
      <c r="E12" s="30" t="n">
        <v>14218.88</v>
      </c>
      <c r="F12" s="30" t="n">
        <v>12580</v>
      </c>
    </row>
    <row r="13">
      <c r="A13" s="29" t="inlineStr">
        <is>
          <t>Other Investments (Non-current)</t>
        </is>
      </c>
      <c r="B13" s="30" t="n">
        <v>1669.37</v>
      </c>
      <c r="C13" s="30" t="n">
        <v>2119.75</v>
      </c>
      <c r="D13" s="30" t="n">
        <v>1854.59</v>
      </c>
      <c r="E13" s="30" t="n">
        <v>1301.21</v>
      </c>
      <c r="F13" s="30" t="n">
        <v>1169.81</v>
      </c>
    </row>
    <row r="14">
      <c r="A14" s="29" t="inlineStr">
        <is>
          <t>Trade Receivables (Non-current)</t>
        </is>
      </c>
      <c r="B14" s="30" t="n">
        <v>1599.35</v>
      </c>
      <c r="C14" s="30" t="n">
        <v>1223.02</v>
      </c>
      <c r="D14" s="30" t="n">
        <v>273.29</v>
      </c>
      <c r="E14" s="30" t="n">
        <v>359.63</v>
      </c>
      <c r="F14" s="30" t="n">
        <v>685.78</v>
      </c>
    </row>
    <row r="15">
      <c r="A15" s="29" t="inlineStr">
        <is>
          <t>Loans (Non-current)</t>
        </is>
      </c>
      <c r="B15" s="30" t="n">
        <v>37.14</v>
      </c>
      <c r="C15" s="30" t="n">
        <v>2</v>
      </c>
      <c r="D15" s="30" t="n">
        <v>2.48</v>
      </c>
      <c r="E15" s="30" t="n">
        <v>2.99</v>
      </c>
      <c r="F15" s="30" t="n">
        <v>3.45</v>
      </c>
    </row>
    <row r="16">
      <c r="A16" s="29" t="inlineStr">
        <is>
          <t>Finance Lease Receivables (Non-current)</t>
        </is>
      </c>
      <c r="B16" s="30" t="n">
        <v>837.84</v>
      </c>
      <c r="C16" s="30" t="n">
        <v>526.98</v>
      </c>
      <c r="D16" s="30" t="n">
        <v>561.66</v>
      </c>
      <c r="E16" s="30" t="n">
        <v>567.22</v>
      </c>
      <c r="F16" s="30" t="n">
        <v>588.6900000000001</v>
      </c>
    </row>
    <row r="17">
      <c r="A17" s="29" t="inlineStr">
        <is>
          <t>Other Financial Assets (Non-current)</t>
        </is>
      </c>
      <c r="B17" s="30" t="n">
        <v>3522.62</v>
      </c>
      <c r="C17" s="30" t="n">
        <v>2168.98</v>
      </c>
      <c r="D17" s="30" t="n">
        <v>2084.5</v>
      </c>
      <c r="E17" s="30" t="n">
        <v>1726.66</v>
      </c>
      <c r="F17" s="30" t="n">
        <v>1684.53</v>
      </c>
    </row>
    <row r="18">
      <c r="A18" s="29" t="inlineStr">
        <is>
          <t>Non-current Tax Assets (Net)</t>
        </is>
      </c>
      <c r="B18" s="30" t="n">
        <v>960.96</v>
      </c>
      <c r="C18" s="30" t="n">
        <v>745.78</v>
      </c>
      <c r="D18" s="30" t="n">
        <v>585.89</v>
      </c>
      <c r="E18" s="30" t="n">
        <v>739.0700000000001</v>
      </c>
      <c r="F18" s="30" t="n">
        <v>520.54</v>
      </c>
    </row>
    <row r="19">
      <c r="A19" s="29" t="inlineStr">
        <is>
          <t>Deferred Tax Assets (Net)</t>
        </is>
      </c>
      <c r="B19" s="30" t="n">
        <v>607.54</v>
      </c>
      <c r="C19" s="30" t="n">
        <v>517.99</v>
      </c>
      <c r="D19" s="30" t="n">
        <v>499.09</v>
      </c>
      <c r="E19" s="30" t="n">
        <v>252.9</v>
      </c>
      <c r="F19" s="30" t="n">
        <v>334.6</v>
      </c>
    </row>
    <row r="20">
      <c r="A20" s="29" t="inlineStr">
        <is>
          <t>Other Non-current Assets</t>
        </is>
      </c>
      <c r="B20" s="30" t="n">
        <v>10635.84</v>
      </c>
      <c r="C20" s="30" t="n">
        <v>8393.799999999999</v>
      </c>
      <c r="D20" s="30" t="n">
        <v>5173.57</v>
      </c>
      <c r="E20" s="30" t="n">
        <v>2532.46</v>
      </c>
      <c r="F20" s="30" t="n">
        <v>1849.82</v>
      </c>
    </row>
    <row r="21">
      <c r="A21" s="15" t="inlineStr">
        <is>
          <t>Total Non-current Assets</t>
        </is>
      </c>
      <c r="B21" s="31" t="n">
        <v>135307.53</v>
      </c>
      <c r="C21" s="31" t="n">
        <v>119645.82</v>
      </c>
      <c r="D21" s="31" t="n">
        <v>102789.45</v>
      </c>
      <c r="E21" s="31" t="n">
        <v>88824.03999999999</v>
      </c>
      <c r="F21" s="31" t="n">
        <v>81441.75999999999</v>
      </c>
    </row>
    <row r="22">
      <c r="A22" s="28" t="inlineStr">
        <is>
          <t>Current Assets</t>
        </is>
      </c>
      <c r="B22" s="11" t="n"/>
      <c r="C22" s="11" t="n"/>
      <c r="D22" s="11" t="n"/>
      <c r="E22" s="11" t="n"/>
      <c r="F22" s="11" t="n"/>
    </row>
    <row r="23">
      <c r="A23" s="29" t="inlineStr">
        <is>
          <t>Inventories</t>
        </is>
      </c>
      <c r="B23" s="30" t="n">
        <v>5107.64</v>
      </c>
      <c r="C23" s="30" t="n">
        <v>4571.82</v>
      </c>
      <c r="D23" s="30" t="n">
        <v>4419.63</v>
      </c>
      <c r="E23" s="30" t="n">
        <v>3942.88</v>
      </c>
      <c r="F23" s="30" t="n">
        <v>4231.52</v>
      </c>
    </row>
    <row r="24">
      <c r="A24" s="29" t="inlineStr">
        <is>
          <t>Investments (Current)</t>
        </is>
      </c>
      <c r="B24" s="30" t="n">
        <v>1356.12</v>
      </c>
      <c r="C24" s="30" t="n">
        <v>1302.42</v>
      </c>
      <c r="D24" s="30" t="n">
        <v>1477.89</v>
      </c>
      <c r="E24" s="30" t="n">
        <v>1149.6</v>
      </c>
      <c r="F24" s="30" t="n">
        <v>410.52</v>
      </c>
    </row>
    <row r="25">
      <c r="A25" s="29" t="inlineStr">
        <is>
          <t>Trade Receivables (Current)</t>
        </is>
      </c>
      <c r="B25" s="30" t="n">
        <v>4423.96</v>
      </c>
      <c r="C25" s="30" t="n">
        <v>5709.78</v>
      </c>
      <c r="D25" s="30" t="n">
        <v>7401.69</v>
      </c>
      <c r="E25" s="30" t="n">
        <v>6952.15</v>
      </c>
      <c r="F25" s="30" t="n">
        <v>5979.74</v>
      </c>
    </row>
    <row r="26">
      <c r="A26" s="29" t="inlineStr">
        <is>
          <t>Unbilled Revenue</t>
        </is>
      </c>
      <c r="B26" s="30" t="n">
        <v>2842.63</v>
      </c>
      <c r="C26" s="30" t="n">
        <v>2737.06</v>
      </c>
      <c r="D26" s="30" t="n">
        <v>2552.23</v>
      </c>
      <c r="E26" s="30" t="n">
        <v>2456.71</v>
      </c>
      <c r="F26" s="30" t="n">
        <v>2285.57</v>
      </c>
    </row>
    <row r="27">
      <c r="A27" s="29" t="inlineStr">
        <is>
          <t>Cash and Cash Equivalents</t>
        </is>
      </c>
      <c r="B27" s="30" t="n">
        <v>4409.67</v>
      </c>
      <c r="C27" s="30" t="n">
        <v>4862.47</v>
      </c>
      <c r="D27" s="30" t="n">
        <v>3324.34</v>
      </c>
      <c r="E27" s="30" t="n">
        <v>4189.76</v>
      </c>
      <c r="F27" s="30" t="n">
        <v>3077.24</v>
      </c>
    </row>
    <row r="28">
      <c r="A28" s="29" t="inlineStr">
        <is>
          <t>Bank Balances other than above</t>
        </is>
      </c>
      <c r="B28" s="30" t="n">
        <v>9234.33</v>
      </c>
      <c r="C28" s="30" t="n">
        <v>6888.51</v>
      </c>
      <c r="D28" s="30" t="n">
        <v>5827.57</v>
      </c>
      <c r="E28" s="30" t="n">
        <v>7016.77</v>
      </c>
      <c r="F28" s="30" t="n">
        <v>3563.46</v>
      </c>
    </row>
    <row r="29">
      <c r="A29" s="29" t="inlineStr">
        <is>
          <t>Loans (Current)</t>
        </is>
      </c>
      <c r="B29" s="30" t="n">
        <v>19.8</v>
      </c>
      <c r="C29" s="30" t="n">
        <v>12.34</v>
      </c>
      <c r="D29" s="30" t="n">
        <v>11.14</v>
      </c>
      <c r="E29" s="30" t="n">
        <v>11.55</v>
      </c>
      <c r="F29" s="30" t="n">
        <v>9.34</v>
      </c>
    </row>
    <row r="30">
      <c r="A30" s="29" t="inlineStr">
        <is>
          <t>Finance Lease Receivables (Current)</t>
        </is>
      </c>
      <c r="B30" s="30" t="n">
        <v>86.65000000000001</v>
      </c>
      <c r="C30" s="30" t="n">
        <v>74.47</v>
      </c>
      <c r="D30" s="30" t="n">
        <v>65.92</v>
      </c>
      <c r="E30" s="30" t="n">
        <v>54.5</v>
      </c>
      <c r="F30" s="30" t="n">
        <v>46.91</v>
      </c>
    </row>
    <row r="31">
      <c r="A31" s="29" t="inlineStr">
        <is>
          <t>Other Financial Assets (Current)</t>
        </is>
      </c>
      <c r="B31" s="30" t="n">
        <v>1316.67</v>
      </c>
      <c r="C31" s="30" t="n">
        <v>656.48</v>
      </c>
      <c r="D31" s="30" t="n">
        <v>471.48</v>
      </c>
      <c r="E31" s="30" t="n">
        <v>688.3</v>
      </c>
      <c r="F31" s="30" t="n">
        <v>501.45</v>
      </c>
    </row>
    <row r="32">
      <c r="A32" s="29" t="inlineStr">
        <is>
          <t>Current Tax Assets (Net)</t>
        </is>
      </c>
      <c r="B32" s="30" t="n">
        <v>0</v>
      </c>
      <c r="C32" s="30" t="n">
        <v>0</v>
      </c>
      <c r="D32" s="30" t="n">
        <v>8.199999999999999</v>
      </c>
      <c r="E32" s="30" t="n">
        <v>0.6899999999999999</v>
      </c>
      <c r="F32" s="30" t="n">
        <v>0.01</v>
      </c>
    </row>
    <row r="33">
      <c r="A33" s="29" t="inlineStr">
        <is>
          <t>Other Current Assets</t>
        </is>
      </c>
      <c r="B33" s="30" t="n">
        <v>1773.58</v>
      </c>
      <c r="C33" s="30" t="n">
        <v>1941.3</v>
      </c>
      <c r="D33" s="30" t="n">
        <v>1704.3</v>
      </c>
      <c r="E33" s="30" t="n">
        <v>1328.72</v>
      </c>
      <c r="F33" s="30" t="n">
        <v>1479.67</v>
      </c>
    </row>
    <row r="34">
      <c r="A34" s="15" t="inlineStr">
        <is>
          <t>Total Current Assets</t>
        </is>
      </c>
      <c r="B34" s="31" t="n">
        <v>30571.05</v>
      </c>
      <c r="C34" s="31" t="n">
        <v>28756.65</v>
      </c>
      <c r="D34" s="31" t="n">
        <v>27264.39</v>
      </c>
      <c r="E34" s="31" t="n">
        <v>27791.63</v>
      </c>
      <c r="F34" s="31" t="n">
        <v>21585.43</v>
      </c>
    </row>
    <row r="35">
      <c r="A35" s="29" t="inlineStr">
        <is>
          <t>Assets Classified as Held For Sale</t>
        </is>
      </c>
      <c r="B35" s="30" t="n">
        <v>1153.75</v>
      </c>
      <c r="C35" s="30" t="n">
        <v>1145.21</v>
      </c>
      <c r="D35" s="30" t="n">
        <v>1200.99</v>
      </c>
      <c r="E35" s="30" t="n">
        <v>3299.94</v>
      </c>
      <c r="F35" s="30" t="n">
        <v>3046.83</v>
      </c>
    </row>
    <row r="36">
      <c r="A36" s="15" t="inlineStr">
        <is>
          <t>Total Assets before Regulatory Deferral Account</t>
        </is>
      </c>
      <c r="B36" s="31" t="n">
        <v>167032.33</v>
      </c>
      <c r="C36" s="31" t="n">
        <v>149547.68</v>
      </c>
      <c r="D36" s="31" t="n">
        <v>131254.83</v>
      </c>
      <c r="E36" s="31" t="n">
        <v>119915.61</v>
      </c>
      <c r="F36" s="31" t="n">
        <v>106074.02</v>
      </c>
    </row>
    <row r="37">
      <c r="A37" s="29" t="inlineStr">
        <is>
          <t>Regulatory Deferral Account — Assets</t>
        </is>
      </c>
      <c r="B37" s="30" t="n">
        <v>8139.45</v>
      </c>
      <c r="C37" s="30" t="n">
        <v>7163.61</v>
      </c>
      <c r="D37" s="30" t="n">
        <v>8298.66</v>
      </c>
      <c r="E37" s="30" t="n">
        <v>8433.43</v>
      </c>
      <c r="F37" s="30" t="n">
        <v>6810.57</v>
      </c>
    </row>
    <row r="38">
      <c r="A38" s="15" t="inlineStr">
        <is>
          <t>TOTAL ASSETS</t>
        </is>
      </c>
      <c r="B38" s="31" t="n">
        <v>175171.78</v>
      </c>
      <c r="C38" s="31" t="n">
        <v>156711.29</v>
      </c>
      <c r="D38" s="31" t="n">
        <v>139553.49</v>
      </c>
      <c r="E38" s="31" t="n">
        <v>128349.04</v>
      </c>
      <c r="F38" s="31" t="n">
        <v>112884.59</v>
      </c>
    </row>
    <row r="39">
      <c r="A39" s="28" t="inlineStr">
        <is>
          <t>EQUITY AND LIABILITIES</t>
        </is>
      </c>
      <c r="B39" s="11" t="n"/>
      <c r="C39" s="11" t="n"/>
      <c r="D39" s="11" t="n"/>
      <c r="E39" s="11" t="n"/>
      <c r="F39" s="11" t="n"/>
    </row>
    <row r="40">
      <c r="A40" s="29" t="inlineStr">
        <is>
          <t>Equity Share Capital</t>
        </is>
      </c>
      <c r="B40" s="30" t="n">
        <v>319.56</v>
      </c>
      <c r="C40" s="30" t="n">
        <v>319.56</v>
      </c>
      <c r="D40" s="30" t="n">
        <v>319.56</v>
      </c>
      <c r="E40" s="30" t="n">
        <v>319.56</v>
      </c>
      <c r="F40" s="30" t="n">
        <v>319.56</v>
      </c>
    </row>
    <row r="41">
      <c r="A41" s="29" t="inlineStr">
        <is>
          <t>Other Equity</t>
        </is>
      </c>
      <c r="B41" s="30" t="n">
        <v>39147.65</v>
      </c>
      <c r="C41" s="30" t="n">
        <v>35521.11</v>
      </c>
      <c r="D41" s="30" t="n">
        <v>32035.73</v>
      </c>
      <c r="E41" s="30" t="n">
        <v>28467.87</v>
      </c>
      <c r="F41" s="30" t="n">
        <v>22122</v>
      </c>
    </row>
    <row r="42">
      <c r="A42" s="29" t="inlineStr">
        <is>
          <t>Equity attributable to Shareholders of Parent</t>
        </is>
      </c>
      <c r="B42" s="30" t="n">
        <v>39467.21</v>
      </c>
      <c r="C42" s="30" t="n">
        <v>35840.67</v>
      </c>
      <c r="D42" s="30" t="n">
        <v>32355.29</v>
      </c>
      <c r="E42" s="30" t="n">
        <v>28787.43</v>
      </c>
      <c r="F42" s="30" t="n">
        <v>22441.56</v>
      </c>
    </row>
    <row r="43">
      <c r="A43" s="29" t="inlineStr">
        <is>
          <t>Non-controlling Interests</t>
        </is>
      </c>
      <c r="B43" s="30" t="n">
        <v>8070.86</v>
      </c>
      <c r="C43" s="30" t="n">
        <v>6765.37</v>
      </c>
      <c r="D43" s="30" t="n">
        <v>5977.48</v>
      </c>
      <c r="E43" s="30" t="n">
        <v>5416.69</v>
      </c>
      <c r="F43" s="30" t="n">
        <v>3586.9</v>
      </c>
    </row>
    <row r="44">
      <c r="A44" s="15" t="inlineStr">
        <is>
          <t>Total Equity</t>
        </is>
      </c>
      <c r="B44" s="31" t="n">
        <v>47538.07</v>
      </c>
      <c r="C44" s="31" t="n">
        <v>42606.04</v>
      </c>
      <c r="D44" s="31" t="n">
        <v>38332.77</v>
      </c>
      <c r="E44" s="31" t="n">
        <v>34204.12</v>
      </c>
      <c r="F44" s="31" t="n">
        <v>26028.46</v>
      </c>
    </row>
    <row r="45">
      <c r="A45" s="28" t="inlineStr">
        <is>
          <t>Non-current Liabilities</t>
        </is>
      </c>
      <c r="B45" s="11" t="n"/>
      <c r="C45" s="11" t="n"/>
      <c r="D45" s="11" t="n"/>
      <c r="E45" s="11" t="n"/>
      <c r="F45" s="11" t="n"/>
    </row>
    <row r="46">
      <c r="A46" s="29" t="inlineStr">
        <is>
          <t>Borrowings (Non-current)</t>
        </is>
      </c>
      <c r="B46" s="30" t="n">
        <v>61608.57</v>
      </c>
      <c r="C46" s="30" t="n">
        <v>44129.72</v>
      </c>
      <c r="D46" s="30" t="n">
        <v>37392.25</v>
      </c>
      <c r="E46" s="30" t="n">
        <v>30708.49</v>
      </c>
      <c r="F46" s="30" t="n">
        <v>32729.7</v>
      </c>
    </row>
    <row r="47">
      <c r="A47" s="29" t="inlineStr">
        <is>
          <t>Lease Liabilities (Non-current)</t>
        </is>
      </c>
      <c r="B47" s="30" t="n">
        <v>4549.94</v>
      </c>
      <c r="C47" s="30" t="n">
        <v>4196.21</v>
      </c>
      <c r="D47" s="30" t="n">
        <v>3742.48</v>
      </c>
      <c r="E47" s="30" t="n">
        <v>3510.7</v>
      </c>
      <c r="F47" s="30" t="n">
        <v>3207.79</v>
      </c>
    </row>
    <row r="48">
      <c r="A48" s="29" t="inlineStr">
        <is>
          <t>Trade Payables (Non-current)</t>
        </is>
      </c>
      <c r="B48" s="11" t="n"/>
      <c r="C48" s="11" t="n"/>
      <c r="D48" s="11" t="n"/>
      <c r="E48" s="11" t="n"/>
      <c r="F48" s="30" t="n">
        <v>0</v>
      </c>
    </row>
    <row r="49">
      <c r="A49" s="29" t="inlineStr">
        <is>
          <t>Other Financial Liabilities (Non-current)</t>
        </is>
      </c>
      <c r="B49" s="30" t="n">
        <v>694.64</v>
      </c>
      <c r="C49" s="30" t="n">
        <v>674.12</v>
      </c>
      <c r="D49" s="30" t="n">
        <v>1507.55</v>
      </c>
      <c r="E49" s="30" t="n">
        <v>1410.4</v>
      </c>
      <c r="F49" s="30" t="n">
        <v>1156.56</v>
      </c>
    </row>
    <row r="50">
      <c r="A50" s="29" t="inlineStr">
        <is>
          <t>Non-current Tax Liabilities (Net)</t>
        </is>
      </c>
      <c r="B50" s="11" t="n"/>
      <c r="C50" s="11" t="n"/>
      <c r="D50" s="11" t="n"/>
      <c r="E50" s="11" t="n"/>
      <c r="F50" s="30" t="n">
        <v>3.03</v>
      </c>
    </row>
    <row r="51">
      <c r="A51" s="29" t="inlineStr">
        <is>
          <t>Provisions (Non-current)</t>
        </is>
      </c>
      <c r="B51" s="30" t="n">
        <v>3213.85</v>
      </c>
      <c r="C51" s="30" t="n">
        <v>2548.69</v>
      </c>
      <c r="D51" s="30" t="n">
        <v>1865.08</v>
      </c>
      <c r="E51" s="30" t="n">
        <v>1420.02</v>
      </c>
      <c r="F51" s="30" t="n">
        <v>1218.18</v>
      </c>
    </row>
    <row r="52">
      <c r="A52" s="29" t="inlineStr">
        <is>
          <t>Deferred Tax Liabilities (Net)</t>
        </is>
      </c>
      <c r="B52" s="30" t="n">
        <v>4807.88</v>
      </c>
      <c r="C52" s="30" t="n">
        <v>4104.12</v>
      </c>
      <c r="D52" s="30" t="n">
        <v>2772.33</v>
      </c>
      <c r="E52" s="30" t="n">
        <v>1919.37</v>
      </c>
      <c r="F52" s="30" t="n">
        <v>1033.3</v>
      </c>
    </row>
    <row r="53">
      <c r="A53" s="29" t="inlineStr">
        <is>
          <t>Other Non-current Liabilities</t>
        </is>
      </c>
      <c r="B53" s="30" t="n">
        <v>13411.97</v>
      </c>
      <c r="C53" s="30" t="n">
        <v>12930.57</v>
      </c>
      <c r="D53" s="30" t="n">
        <v>11973.08</v>
      </c>
      <c r="E53" s="30" t="n">
        <v>9847.82</v>
      </c>
      <c r="F53" s="30" t="n">
        <v>8139.29</v>
      </c>
    </row>
    <row r="54">
      <c r="A54" s="15" t="inlineStr">
        <is>
          <t>Total Non-current Liabilities</t>
        </is>
      </c>
      <c r="B54" s="31" t="n">
        <v>88286.85000000001</v>
      </c>
      <c r="C54" s="31" t="n">
        <v>68583.42999999999</v>
      </c>
      <c r="D54" s="31" t="n">
        <v>59252.77</v>
      </c>
      <c r="E54" s="31" t="n">
        <v>48816.8</v>
      </c>
      <c r="F54" s="31" t="n">
        <v>47487.85</v>
      </c>
    </row>
    <row r="55">
      <c r="A55" s="28" t="inlineStr">
        <is>
          <t>Current Liabilities</t>
        </is>
      </c>
      <c r="B55" s="11" t="n"/>
      <c r="C55" s="11" t="n"/>
      <c r="D55" s="11" t="n"/>
      <c r="E55" s="11" t="n"/>
      <c r="F55" s="11" t="n"/>
    </row>
    <row r="56">
      <c r="A56" s="29" t="inlineStr">
        <is>
          <t>Borrowings (Current)</t>
        </is>
      </c>
      <c r="B56" s="30" t="n">
        <v>9513.82</v>
      </c>
      <c r="C56" s="30" t="n">
        <v>14015.84</v>
      </c>
      <c r="D56" s="30" t="n">
        <v>12087.56</v>
      </c>
      <c r="E56" s="30" t="n">
        <v>18265.94</v>
      </c>
      <c r="F56" s="30" t="n">
        <v>14860.3</v>
      </c>
    </row>
    <row r="57">
      <c r="A57" s="29" t="inlineStr">
        <is>
          <t>Lease Liabilities (Current)</t>
        </is>
      </c>
      <c r="B57" s="30" t="n">
        <v>468.94</v>
      </c>
      <c r="C57" s="30" t="n">
        <v>524.03</v>
      </c>
      <c r="D57" s="30" t="n">
        <v>467.16</v>
      </c>
      <c r="E57" s="30" t="n">
        <v>437.87</v>
      </c>
      <c r="F57" s="30" t="n">
        <v>397.33</v>
      </c>
    </row>
    <row r="58">
      <c r="A58" s="29" t="inlineStr">
        <is>
          <t>Trade Payables — micro/small enterprises</t>
        </is>
      </c>
      <c r="B58" s="30" t="n">
        <v>809.84</v>
      </c>
      <c r="C58" s="30" t="n">
        <v>784.21</v>
      </c>
      <c r="D58" s="30" t="n">
        <v>870</v>
      </c>
      <c r="E58" s="30" t="n">
        <v>537.6</v>
      </c>
      <c r="F58" s="11" t="n"/>
    </row>
    <row r="59">
      <c r="A59" s="29" t="inlineStr">
        <is>
          <t>Trade Payables — other creditors / total</t>
        </is>
      </c>
      <c r="B59" s="30" t="n">
        <v>6328.39</v>
      </c>
      <c r="C59" s="30" t="n">
        <v>8070.34</v>
      </c>
      <c r="D59" s="30" t="n">
        <v>8451.370000000001</v>
      </c>
      <c r="E59" s="30" t="n">
        <v>6869.6</v>
      </c>
      <c r="F59" s="30" t="n">
        <v>10459.6</v>
      </c>
    </row>
    <row r="60">
      <c r="A60" s="29" t="inlineStr">
        <is>
          <t>Other Financial Liabilities (Current)</t>
        </is>
      </c>
      <c r="B60" s="30" t="n">
        <v>13897.6</v>
      </c>
      <c r="C60" s="30" t="n">
        <v>12427.03</v>
      </c>
      <c r="D60" s="30" t="n">
        <v>14796.16</v>
      </c>
      <c r="E60" s="30" t="n">
        <v>13150.77</v>
      </c>
      <c r="F60" s="30" t="n">
        <v>9631.959999999999</v>
      </c>
    </row>
    <row r="61">
      <c r="A61" s="29" t="inlineStr">
        <is>
          <t>Provisions (Current)</t>
        </is>
      </c>
      <c r="B61" s="30" t="n">
        <v>680.4400000000001</v>
      </c>
      <c r="C61" s="30" t="n">
        <v>437.56</v>
      </c>
      <c r="D61" s="30" t="n">
        <v>294.34</v>
      </c>
      <c r="E61" s="30" t="n">
        <v>311.07</v>
      </c>
      <c r="F61" s="30" t="n">
        <v>344.82</v>
      </c>
    </row>
    <row r="62">
      <c r="A62" s="29" t="inlineStr">
        <is>
          <t>Current Tax Liabilities (Net)</t>
        </is>
      </c>
      <c r="B62" s="30" t="n">
        <v>185.42</v>
      </c>
      <c r="C62" s="30" t="n">
        <v>208.2</v>
      </c>
      <c r="D62" s="30" t="n">
        <v>291.54</v>
      </c>
      <c r="E62" s="30" t="n">
        <v>217.96</v>
      </c>
      <c r="F62" s="30" t="n">
        <v>147</v>
      </c>
    </row>
    <row r="63">
      <c r="A63" s="29" t="inlineStr">
        <is>
          <t>Other Current Liabilities</t>
        </is>
      </c>
      <c r="B63" s="30" t="n">
        <v>3691.15</v>
      </c>
      <c r="C63" s="30" t="n">
        <v>3672.38</v>
      </c>
      <c r="D63" s="30" t="n">
        <v>3879.84</v>
      </c>
      <c r="E63" s="30" t="n">
        <v>4188.41</v>
      </c>
      <c r="F63" s="30" t="n">
        <v>2779.08</v>
      </c>
    </row>
    <row r="64">
      <c r="A64" s="15" t="inlineStr">
        <is>
          <t>Total Current Liabilities</t>
        </is>
      </c>
      <c r="B64" s="31" t="n">
        <v>39223.57</v>
      </c>
      <c r="C64" s="31" t="n">
        <v>45269.52</v>
      </c>
      <c r="D64" s="31" t="n">
        <v>41137.97</v>
      </c>
      <c r="E64" s="31" t="n">
        <v>43979.22</v>
      </c>
      <c r="F64" s="31" t="n">
        <v>38620.09</v>
      </c>
    </row>
    <row r="65">
      <c r="A65" s="29" t="inlineStr">
        <is>
          <t>Liabilities re: Assets Held For Sale</t>
        </is>
      </c>
      <c r="B65" s="30" t="n">
        <v>114.24</v>
      </c>
      <c r="C65" s="30" t="n">
        <v>113.56</v>
      </c>
      <c r="D65" s="30" t="n">
        <v>113.56</v>
      </c>
      <c r="E65" s="30" t="n">
        <v>113.56</v>
      </c>
      <c r="F65" s="30" t="n">
        <v>113.56</v>
      </c>
    </row>
    <row r="66">
      <c r="A66" s="29" t="inlineStr">
        <is>
          <t>Regulatory Deferral Account — Liability</t>
        </is>
      </c>
      <c r="B66" s="30" t="n">
        <v>9.050000000000001</v>
      </c>
      <c r="C66" s="30" t="n">
        <v>138.74</v>
      </c>
      <c r="D66" s="30" t="n">
        <v>716.42</v>
      </c>
      <c r="E66" s="30" t="n">
        <v>1235.34</v>
      </c>
      <c r="F66" s="30" t="n">
        <v>634.63</v>
      </c>
    </row>
    <row r="67">
      <c r="A67" s="15" t="inlineStr">
        <is>
          <t>TOTAL EQUITY AND LIABILITIES</t>
        </is>
      </c>
      <c r="B67" s="31" t="n">
        <v>175171.78</v>
      </c>
      <c r="C67" s="31" t="n">
        <v>156711.29</v>
      </c>
      <c r="D67" s="31" t="n">
        <v>139553.49</v>
      </c>
      <c r="E67" s="31" t="n">
        <v>128349.04</v>
      </c>
      <c r="F67" s="31" t="n">
        <v>112884.59</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25" t="inlineStr">
        <is>
          <t>Sources: Tata Power Integrated Annual Reports FY21-22, FY23-24 and FY25-26 — 'Consolidated Statement of Profit and Loss' for each year ended. Extends the team's original sheet (which only had FY22/23) to the full FY22-FY26 window.</t>
        </is>
      </c>
    </row>
    <row r="4">
      <c r="A4" s="26" t="inlineStr">
        <is>
          <t>Particulars (₹ crore)</t>
        </is>
      </c>
      <c r="B4" s="27" t="inlineStr">
        <is>
          <t>FY 2025-26</t>
        </is>
      </c>
      <c r="C4" s="27" t="inlineStr">
        <is>
          <t>FY 2024-25</t>
        </is>
      </c>
      <c r="D4" s="27" t="inlineStr">
        <is>
          <t>FY 2023-24</t>
        </is>
      </c>
      <c r="E4" s="27" t="inlineStr">
        <is>
          <t>FY 2022-23</t>
        </is>
      </c>
      <c r="F4" s="27" t="inlineStr">
        <is>
          <t>FY 2021-22</t>
        </is>
      </c>
    </row>
    <row r="5">
      <c r="A5" s="29" t="inlineStr">
        <is>
          <t>Revenue from Operations</t>
        </is>
      </c>
      <c r="B5" s="30" t="n">
        <v>62428.59</v>
      </c>
      <c r="C5" s="30" t="n">
        <v>65478.24</v>
      </c>
      <c r="D5" s="30" t="n">
        <v>61448.9</v>
      </c>
      <c r="E5" s="30" t="n">
        <v>55109.08</v>
      </c>
      <c r="F5" s="30" t="n">
        <v>42815.67</v>
      </c>
    </row>
    <row r="6">
      <c r="A6" s="29" t="inlineStr">
        <is>
          <t>Other Income</t>
        </is>
      </c>
      <c r="B6" s="30" t="n">
        <v>1743.07</v>
      </c>
      <c r="C6" s="30" t="n">
        <v>1513.93</v>
      </c>
      <c r="D6" s="30" t="n">
        <v>1823.42</v>
      </c>
      <c r="E6" s="30" t="n">
        <v>1438.02</v>
      </c>
      <c r="F6" s="30" t="n">
        <v>919.96</v>
      </c>
    </row>
    <row r="7">
      <c r="A7" s="15" t="inlineStr">
        <is>
          <t>Total Income</t>
        </is>
      </c>
      <c r="B7" s="31" t="n">
        <v>64171.66</v>
      </c>
      <c r="C7" s="31" t="n">
        <v>66992.17</v>
      </c>
      <c r="D7" s="31" t="n">
        <v>63272.32</v>
      </c>
      <c r="E7" s="31" t="n">
        <v>56547.1</v>
      </c>
      <c r="F7" s="31" t="n">
        <v>43735.63</v>
      </c>
    </row>
    <row r="8">
      <c r="A8" s="28" t="inlineStr">
        <is>
          <t>Expenses</t>
        </is>
      </c>
      <c r="B8" s="11" t="n"/>
      <c r="C8" s="11" t="n"/>
      <c r="D8" s="11" t="n"/>
      <c r="E8" s="11" t="n"/>
      <c r="F8" s="11" t="n"/>
    </row>
    <row r="9">
      <c r="A9" s="29" t="inlineStr">
        <is>
          <t>Cost of Power Purchased</t>
        </is>
      </c>
      <c r="B9" s="30" t="n">
        <v>19647.25</v>
      </c>
      <c r="C9" s="30" t="n">
        <v>20523.61</v>
      </c>
      <c r="D9" s="30" t="n">
        <v>20014.46</v>
      </c>
      <c r="E9" s="30" t="n">
        <v>19062.67</v>
      </c>
      <c r="F9" s="30" t="n">
        <v>14640.62</v>
      </c>
    </row>
    <row r="10">
      <c r="A10" s="29" t="inlineStr">
        <is>
          <t>Cost of Fuel</t>
        </is>
      </c>
      <c r="B10" s="30" t="n">
        <v>7498.39</v>
      </c>
      <c r="C10" s="30" t="n">
        <v>13918.47</v>
      </c>
      <c r="D10" s="30" t="n">
        <v>14130.47</v>
      </c>
      <c r="E10" s="30" t="n">
        <v>13763.59</v>
      </c>
      <c r="F10" s="30" t="n">
        <v>8290.92</v>
      </c>
    </row>
    <row r="11">
      <c r="A11" s="29" t="inlineStr">
        <is>
          <t>Transmission Charges</t>
        </is>
      </c>
      <c r="B11" s="30" t="n">
        <v>1467.98</v>
      </c>
      <c r="C11" s="30" t="n">
        <v>1277.81</v>
      </c>
      <c r="D11" s="30" t="n">
        <v>1168.69</v>
      </c>
      <c r="E11" s="30" t="n">
        <v>1194.95</v>
      </c>
      <c r="F11" s="30" t="n">
        <v>1018.19</v>
      </c>
    </row>
    <row r="12">
      <c r="A12" s="29" t="inlineStr">
        <is>
          <t>Raw Material Consumed / Construction Cost</t>
        </is>
      </c>
      <c r="B12" s="30" t="n">
        <v>8618.4</v>
      </c>
      <c r="C12" s="30" t="n">
        <v>4921.46</v>
      </c>
      <c r="D12" s="30" t="n">
        <v>5439.86</v>
      </c>
      <c r="E12" s="30" t="n">
        <v>3882.3</v>
      </c>
      <c r="F12" s="30" t="n">
        <v>3832.83</v>
      </c>
    </row>
    <row r="13">
      <c r="A13" s="29" t="inlineStr">
        <is>
          <t>Purchase of Finished Goods and Spares</t>
        </is>
      </c>
      <c r="B13" s="30" t="n">
        <v>42.35</v>
      </c>
      <c r="C13" s="30" t="n">
        <v>31.84</v>
      </c>
      <c r="D13" s="30" t="n">
        <v>39.89</v>
      </c>
      <c r="E13" s="30" t="n">
        <v>56.15</v>
      </c>
      <c r="F13" s="30" t="n">
        <v>49.11</v>
      </c>
    </row>
    <row r="14">
      <c r="A14" s="29" t="inlineStr">
        <is>
          <t>(Increase)/Decrease in Stock-in-Trade &amp; WIP</t>
        </is>
      </c>
      <c r="B14" s="30" t="n">
        <v>-84.11</v>
      </c>
      <c r="C14" s="30" t="n">
        <v>-440.76</v>
      </c>
      <c r="D14" s="30" t="n">
        <v>-51.78</v>
      </c>
      <c r="E14" s="30" t="n">
        <v>43.53</v>
      </c>
      <c r="F14" s="30" t="n">
        <v>-199.22</v>
      </c>
    </row>
    <row r="15">
      <c r="A15" s="29" t="inlineStr">
        <is>
          <t>Employee Benefits Expense</t>
        </is>
      </c>
      <c r="B15" s="30" t="n">
        <v>4693.73</v>
      </c>
      <c r="C15" s="30" t="n">
        <v>4372.92</v>
      </c>
      <c r="D15" s="30" t="n">
        <v>4036.09</v>
      </c>
      <c r="E15" s="30" t="n">
        <v>3624.26</v>
      </c>
      <c r="F15" s="30" t="n">
        <v>3611.63</v>
      </c>
    </row>
    <row r="16">
      <c r="A16" s="29" t="inlineStr">
        <is>
          <t>Finance Costs</t>
        </is>
      </c>
      <c r="B16" s="30" t="n">
        <v>5256.79</v>
      </c>
      <c r="C16" s="30" t="n">
        <v>4702.44</v>
      </c>
      <c r="D16" s="30" t="n">
        <v>4633.22</v>
      </c>
      <c r="E16" s="30" t="n">
        <v>4371.65</v>
      </c>
      <c r="F16" s="30" t="n">
        <v>3859.02</v>
      </c>
    </row>
    <row r="17">
      <c r="A17" s="29" t="inlineStr">
        <is>
          <t>Depreciation and Amortisation Expense</t>
        </is>
      </c>
      <c r="B17" s="30" t="n">
        <v>4811.09</v>
      </c>
      <c r="C17" s="30" t="n">
        <v>4116.86</v>
      </c>
      <c r="D17" s="30" t="n">
        <v>3786.37</v>
      </c>
      <c r="E17" s="30" t="n">
        <v>3439.2</v>
      </c>
      <c r="F17" s="30" t="n">
        <v>3122.2</v>
      </c>
    </row>
    <row r="18">
      <c r="A18" s="29" t="inlineStr">
        <is>
          <t>Other Expenses</t>
        </is>
      </c>
      <c r="B18" s="30" t="n">
        <v>7449.54</v>
      </c>
      <c r="C18" s="30" t="n">
        <v>6943.02</v>
      </c>
      <c r="D18" s="30" t="n">
        <v>5887.39</v>
      </c>
      <c r="E18" s="30" t="n">
        <v>5775.31</v>
      </c>
      <c r="F18" s="30" t="n">
        <v>4060.42</v>
      </c>
    </row>
    <row r="19">
      <c r="A19" s="15" t="inlineStr">
        <is>
          <t>Total Expenses</t>
        </is>
      </c>
      <c r="B19" s="31" t="n">
        <v>59401.41</v>
      </c>
      <c r="C19" s="31" t="n">
        <v>60367.67</v>
      </c>
      <c r="D19" s="31" t="n">
        <v>59084.66</v>
      </c>
      <c r="E19" s="31" t="n">
        <v>55213.61</v>
      </c>
      <c r="F19" s="31" t="n">
        <v>42285.72</v>
      </c>
    </row>
    <row r="20">
      <c r="A20" s="29" t="inlineStr">
        <is>
          <t>Profit before Regulatory Deferral, Exceptional Items &amp; Assoc./JV share</t>
        </is>
      </c>
      <c r="B20" s="30" t="n">
        <v>4770.25</v>
      </c>
      <c r="C20" s="30" t="n">
        <v>6624.5</v>
      </c>
      <c r="D20" s="30" t="n">
        <v>4187.66</v>
      </c>
      <c r="E20" s="30" t="n">
        <v>1333.49</v>
      </c>
      <c r="F20" s="30" t="n">
        <v>1449.91</v>
      </c>
    </row>
    <row r="21">
      <c r="A21" s="29" t="inlineStr">
        <is>
          <t>Net Movement in Regulatory Deferral Balances (incl. earlier years, net tax)</t>
        </is>
      </c>
      <c r="B21" s="30" t="n">
        <v>1252.04</v>
      </c>
      <c r="C21" s="30" t="n">
        <v>-976.16</v>
      </c>
      <c r="D21" s="30" t="n">
        <v>93.43000000000001</v>
      </c>
      <c r="E21" s="30" t="n">
        <v>924.05</v>
      </c>
      <c r="F21" s="30" t="n">
        <v>-239.47</v>
      </c>
    </row>
    <row r="22">
      <c r="A22" s="15" t="inlineStr">
        <is>
          <t>Profit Before Exceptional Items, Tax &amp; Assoc./JV Share</t>
        </is>
      </c>
      <c r="B22" s="31" t="n">
        <v>6022.29</v>
      </c>
      <c r="C22" s="31" t="n">
        <v>5648.34</v>
      </c>
      <c r="D22" s="31" t="n">
        <v>4281.09</v>
      </c>
      <c r="E22" s="31" t="n">
        <v>2257.54</v>
      </c>
      <c r="F22" s="31" t="n">
        <v>1210.44</v>
      </c>
    </row>
    <row r="23">
      <c r="A23" s="29" t="inlineStr">
        <is>
          <t>Share of Net Profit of Associates and JVs (Equity Method)</t>
        </is>
      </c>
      <c r="B23" s="30" t="n">
        <v>707.87</v>
      </c>
      <c r="C23" s="30" t="n">
        <v>793.33</v>
      </c>
      <c r="D23" s="30" t="n">
        <v>1177.57</v>
      </c>
      <c r="E23" s="30" t="n">
        <v>3199.46</v>
      </c>
      <c r="F23" s="30" t="n">
        <v>1942.83</v>
      </c>
    </row>
    <row r="24">
      <c r="A24" s="15" t="inlineStr">
        <is>
          <t>Profit Before Exceptional Items and Tax</t>
        </is>
      </c>
      <c r="B24" s="31" t="n">
        <v>6730.16</v>
      </c>
      <c r="C24" s="31" t="n">
        <v>6441.67</v>
      </c>
      <c r="D24" s="31" t="n">
        <v>5458.66</v>
      </c>
      <c r="E24" s="31" t="n">
        <v>5457</v>
      </c>
      <c r="F24" s="31" t="n">
        <v>3153.27</v>
      </c>
    </row>
    <row r="25">
      <c r="A25" s="29" t="inlineStr">
        <is>
          <t>Exceptional Items (net)</t>
        </is>
      </c>
      <c r="B25" s="11" t="n"/>
      <c r="C25" s="11" t="n"/>
      <c r="D25" s="30" t="n">
        <v>273.36</v>
      </c>
      <c r="E25" s="30" t="n">
        <v>0</v>
      </c>
      <c r="F25" s="30" t="n">
        <v>-150.27</v>
      </c>
    </row>
    <row r="26">
      <c r="A26" s="15" t="inlineStr">
        <is>
          <t>Profit Before Tax</t>
        </is>
      </c>
      <c r="B26" s="32" t="n"/>
      <c r="C26" s="32" t="n"/>
      <c r="D26" s="31" t="n">
        <v>5732.02</v>
      </c>
      <c r="E26" s="31" t="n">
        <v>5457</v>
      </c>
      <c r="F26" s="31" t="n">
        <v>3003</v>
      </c>
    </row>
    <row r="27">
      <c r="A27" s="29" t="inlineStr">
        <is>
          <t>Total Tax Expense/(Credit)</t>
        </is>
      </c>
      <c r="B27" s="11" t="n"/>
      <c r="C27" s="11" t="n"/>
      <c r="D27" s="30" t="n">
        <v>1451.92</v>
      </c>
      <c r="E27" s="30" t="n">
        <v>1647.33</v>
      </c>
      <c r="F27" s="30" t="n">
        <v>379.56</v>
      </c>
    </row>
    <row r="28">
      <c r="A28" s="15" t="inlineStr">
        <is>
          <t>Profit for the Year (PAT, consolidated)</t>
        </is>
      </c>
      <c r="B28" s="31" t="n">
        <v>5117.56</v>
      </c>
      <c r="C28" s="31" t="n">
        <v>4775</v>
      </c>
      <c r="D28" s="31" t="n">
        <v>4280.1</v>
      </c>
      <c r="E28" s="31" t="n">
        <v>3809.67</v>
      </c>
      <c r="F28" s="31" t="n">
        <v>2623.44</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25" t="inlineStr">
        <is>
          <t>Sources: Torrent Power Integrated Annual Reports FY21-22 (AR_20392) through FY25-26 (AR_29704) — 'Consolidated Balance Sheet' as at each year-end. Fills the FY22/FY21 gap left blank in the team's original 'Consolidated Balance Sheet Summ[ary]' sheet; FY23-26 figures cross-checked and match.</t>
        </is>
      </c>
    </row>
    <row r="4">
      <c r="A4" s="26" t="inlineStr">
        <is>
          <t>Particulars (₹ crore)</t>
        </is>
      </c>
      <c r="B4" s="27" t="inlineStr">
        <is>
          <t>Mar-2026</t>
        </is>
      </c>
      <c r="C4" s="27" t="inlineStr">
        <is>
          <t>Mar-2025</t>
        </is>
      </c>
      <c r="D4" s="27" t="inlineStr">
        <is>
          <t>Mar-2024</t>
        </is>
      </c>
      <c r="E4" s="27" t="inlineStr">
        <is>
          <t>Mar-2023</t>
        </is>
      </c>
      <c r="F4" s="27" t="inlineStr">
        <is>
          <t>Mar-2022</t>
        </is>
      </c>
      <c r="G4" s="27" t="inlineStr">
        <is>
          <t>Mar-2021</t>
        </is>
      </c>
    </row>
    <row r="5">
      <c r="A5" s="28" t="inlineStr">
        <is>
          <t>Non-current Assets</t>
        </is>
      </c>
      <c r="B5" s="11" t="n"/>
      <c r="C5" s="11" t="n"/>
      <c r="D5" s="11" t="n"/>
      <c r="E5" s="11" t="n"/>
      <c r="F5" s="11" t="n"/>
      <c r="G5" s="11" t="n"/>
    </row>
    <row r="6">
      <c r="A6" s="29" t="inlineStr">
        <is>
          <t>Property, Plant and Equipment</t>
        </is>
      </c>
      <c r="B6" s="11" t="n"/>
      <c r="C6" s="11" t="n"/>
      <c r="D6" s="11" t="n"/>
      <c r="E6" s="11" t="n"/>
      <c r="F6" s="30" t="n">
        <v>16759.39</v>
      </c>
      <c r="G6" s="30" t="n">
        <v>17129.25</v>
      </c>
    </row>
    <row r="7">
      <c r="A7" s="29" t="inlineStr">
        <is>
          <t>Right-of-use Assets</t>
        </is>
      </c>
      <c r="B7" s="11" t="n"/>
      <c r="C7" s="11" t="n"/>
      <c r="D7" s="11" t="n"/>
      <c r="E7" s="11" t="n"/>
      <c r="F7" s="30" t="n">
        <v>214.6</v>
      </c>
      <c r="G7" s="30" t="n">
        <v>178.35</v>
      </c>
    </row>
    <row r="8">
      <c r="A8" s="29" t="inlineStr">
        <is>
          <t>Capital Work-in-Progress</t>
        </is>
      </c>
      <c r="B8" s="30" t="n">
        <v>6961.53</v>
      </c>
      <c r="C8" s="30" t="n">
        <v>2249.81</v>
      </c>
      <c r="D8" s="30" t="n">
        <v>2472.36</v>
      </c>
      <c r="E8" s="30" t="n">
        <v>2624.69</v>
      </c>
      <c r="F8" s="30" t="n">
        <v>1297.27</v>
      </c>
      <c r="G8" s="30" t="n">
        <v>837.73</v>
      </c>
    </row>
    <row r="9">
      <c r="A9" s="29" t="inlineStr">
        <is>
          <t>Other Non-Current Assets (incl. intangibles/investments/loans)</t>
        </is>
      </c>
      <c r="B9" s="30" t="n">
        <v>4791.5</v>
      </c>
      <c r="C9" s="30" t="n">
        <v>2675.23</v>
      </c>
      <c r="D9" s="30" t="n">
        <v>1760.08</v>
      </c>
      <c r="E9" s="30" t="n">
        <v>874.3099999999999</v>
      </c>
      <c r="F9" s="30" t="n">
        <v>1525.68</v>
      </c>
      <c r="G9" s="30" t="n">
        <v>748.98</v>
      </c>
    </row>
    <row r="10">
      <c r="A10" s="15" t="inlineStr">
        <is>
          <t>Total Non-current Assets</t>
        </is>
      </c>
      <c r="B10" s="31" t="n">
        <v>35953.86</v>
      </c>
      <c r="C10" s="31" t="n">
        <v>27953.33</v>
      </c>
      <c r="D10" s="31" t="n">
        <v>24886.12</v>
      </c>
      <c r="E10" s="31" t="n">
        <v>21894</v>
      </c>
      <c r="F10" s="31" t="n">
        <v>19796.94</v>
      </c>
      <c r="G10" s="31" t="n">
        <v>18894.31</v>
      </c>
    </row>
    <row r="11">
      <c r="A11" s="15" t="inlineStr">
        <is>
          <t>Current Assets</t>
        </is>
      </c>
      <c r="B11" s="31" t="n">
        <v>9239.42</v>
      </c>
      <c r="C11" s="31" t="n">
        <v>8620.049999999999</v>
      </c>
      <c r="D11" s="31" t="n">
        <v>8506.360000000001</v>
      </c>
      <c r="E11" s="31" t="n">
        <v>8016.18</v>
      </c>
      <c r="F11" s="31" t="n">
        <v>5225.76</v>
      </c>
      <c r="G11" s="31" t="n">
        <v>4644.41</v>
      </c>
    </row>
    <row r="12">
      <c r="A12" s="15" t="inlineStr">
        <is>
          <t>TOTAL ASSETS</t>
        </is>
      </c>
      <c r="B12" s="31" t="n">
        <v>45193.28</v>
      </c>
      <c r="C12" s="31" t="n">
        <v>36573.38</v>
      </c>
      <c r="D12" s="31" t="n">
        <v>33392.48</v>
      </c>
      <c r="E12" s="31" t="n">
        <v>29910.18</v>
      </c>
      <c r="F12" s="31" t="n">
        <v>25022.7</v>
      </c>
      <c r="G12" s="31" t="n">
        <v>23538.72</v>
      </c>
    </row>
    <row r="13">
      <c r="A13" s="28" t="inlineStr">
        <is>
          <t>EQUITY &amp; LIABILITIES</t>
        </is>
      </c>
      <c r="B13" s="11" t="n"/>
      <c r="C13" s="11" t="n"/>
      <c r="D13" s="11" t="n"/>
      <c r="E13" s="11" t="n"/>
      <c r="F13" s="11" t="n"/>
      <c r="G13" s="11" t="n"/>
    </row>
    <row r="14">
      <c r="A14" s="29" t="inlineStr">
        <is>
          <t>Equity Share Capital</t>
        </is>
      </c>
      <c r="B14" s="30" t="n">
        <v>503.9</v>
      </c>
      <c r="C14" s="30" t="n">
        <v>503.9</v>
      </c>
      <c r="D14" s="30" t="n">
        <v>480.62</v>
      </c>
      <c r="E14" s="30" t="n">
        <v>480.62</v>
      </c>
      <c r="F14" s="30" t="n">
        <v>480.62</v>
      </c>
      <c r="G14" s="30" t="n">
        <v>480.62</v>
      </c>
    </row>
    <row r="15">
      <c r="A15" s="29" t="inlineStr">
        <is>
          <t>Other Equity</t>
        </is>
      </c>
      <c r="B15" s="30" t="n">
        <v>18571.43</v>
      </c>
      <c r="C15" s="30" t="n">
        <v>17111.41</v>
      </c>
      <c r="D15" s="30" t="n">
        <v>11581.09</v>
      </c>
      <c r="E15" s="30" t="n">
        <v>10529</v>
      </c>
      <c r="F15" s="30" t="n">
        <v>9462.559999999999</v>
      </c>
      <c r="G15" s="30" t="n">
        <v>9703.620000000001</v>
      </c>
    </row>
    <row r="16">
      <c r="A16" s="15" t="inlineStr">
        <is>
          <t>Net Worth (Attributable to Owners)</t>
        </is>
      </c>
      <c r="B16" s="31" t="n">
        <v>19075.33</v>
      </c>
      <c r="C16" s="31" t="n">
        <v>17615.31</v>
      </c>
      <c r="D16" s="31" t="n">
        <v>12061.71</v>
      </c>
      <c r="E16" s="31" t="n">
        <v>11009.62</v>
      </c>
      <c r="F16" s="31" t="n">
        <v>9943.18</v>
      </c>
      <c r="G16" s="31" t="n">
        <v>10184.24</v>
      </c>
    </row>
    <row r="17">
      <c r="A17" s="29" t="inlineStr">
        <is>
          <t>Non-Controlling Interests</t>
        </is>
      </c>
      <c r="B17" s="30" t="n">
        <v>633.42</v>
      </c>
      <c r="C17" s="30" t="n">
        <v>600.47</v>
      </c>
      <c r="D17" s="30" t="n">
        <v>535.79</v>
      </c>
      <c r="E17" s="30" t="n">
        <v>446.33</v>
      </c>
      <c r="F17" s="30" t="n">
        <v>35.93</v>
      </c>
      <c r="G17" s="30" t="n">
        <v>36.36</v>
      </c>
    </row>
    <row r="18">
      <c r="A18" s="15" t="inlineStr">
        <is>
          <t>Total Equity</t>
        </is>
      </c>
      <c r="B18" s="31" t="n">
        <v>19708.75</v>
      </c>
      <c r="C18" s="31" t="n">
        <v>18215.78</v>
      </c>
      <c r="D18" s="31" t="n">
        <v>12597.5</v>
      </c>
      <c r="E18" s="31" t="n">
        <v>11455.95</v>
      </c>
      <c r="F18" s="31" t="n">
        <v>9979.110000000001</v>
      </c>
      <c r="G18" s="31" t="n">
        <v>10220.6</v>
      </c>
    </row>
    <row r="19">
      <c r="A19" s="29" t="inlineStr">
        <is>
          <t>Non-current Liabilities (Borrowings, provisions, deferred tax etc.)</t>
        </is>
      </c>
      <c r="B19" s="11" t="n"/>
      <c r="C19" s="11" t="n"/>
      <c r="D19" s="11" t="n"/>
      <c r="E19" s="11" t="n"/>
      <c r="F19" s="30" t="n">
        <v>8895.92</v>
      </c>
      <c r="G19" s="30" t="n">
        <v>8508.27</v>
      </c>
    </row>
    <row r="20">
      <c r="A20" s="29" t="inlineStr">
        <is>
          <t>Current Liabilities (Borrowings, trade payables etc.)</t>
        </is>
      </c>
      <c r="B20" s="11" t="n"/>
      <c r="C20" s="11" t="n"/>
      <c r="D20" s="11" t="n"/>
      <c r="E20" s="11" t="n"/>
      <c r="F20" s="30" t="n">
        <v>6147.67</v>
      </c>
      <c r="G20" s="30" t="n">
        <v>4809.85</v>
      </c>
    </row>
    <row r="21">
      <c r="A21" s="15" t="inlineStr">
        <is>
          <t>TOTAL EQUITY AND LIABILITIES</t>
        </is>
      </c>
      <c r="B21" s="31" t="n">
        <v>45193.28</v>
      </c>
      <c r="C21" s="31" t="n">
        <v>36573.38</v>
      </c>
      <c r="D21" s="31" t="n">
        <v>33392.48</v>
      </c>
      <c r="E21" s="31" t="n">
        <v>29910.18</v>
      </c>
      <c r="F21" s="31" t="n">
        <v>25022.7</v>
      </c>
      <c r="G21" s="31" t="n">
        <v>23538.72</v>
      </c>
    </row>
  </sheetData>
  <mergeCells count="2">
    <mergeCell ref="A2:G2"/>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25" t="inlineStr">
        <is>
          <t>Sources: Torrent Power Integrated Annual Reports FY21-22 through FY25-26 — 'Consolidated Statement of Profit and Loss' for each year ended. Extends the team's original sheet (FY23-26 only) back to include FY22 and FY21.</t>
        </is>
      </c>
    </row>
    <row r="4">
      <c r="A4" s="26" t="inlineStr">
        <is>
          <t>Particulars (₹ crore)</t>
        </is>
      </c>
      <c r="B4" s="27" t="inlineStr">
        <is>
          <t>FY 2025-26</t>
        </is>
      </c>
      <c r="C4" s="27" t="inlineStr">
        <is>
          <t>FY 2024-25</t>
        </is>
      </c>
      <c r="D4" s="27" t="inlineStr">
        <is>
          <t>FY 2023-24</t>
        </is>
      </c>
      <c r="E4" s="27" t="inlineStr">
        <is>
          <t>FY 2022-23</t>
        </is>
      </c>
      <c r="F4" s="27" t="inlineStr">
        <is>
          <t>FY 2021-22</t>
        </is>
      </c>
      <c r="G4" s="27" t="inlineStr">
        <is>
          <t>FY 2020-21</t>
        </is>
      </c>
    </row>
    <row r="5">
      <c r="A5" s="29" t="inlineStr">
        <is>
          <t>Revenue from Operations</t>
        </is>
      </c>
      <c r="B5" s="30" t="n">
        <v>28966.31</v>
      </c>
      <c r="C5" s="30" t="n">
        <v>29165.26</v>
      </c>
      <c r="D5" s="30" t="n">
        <v>27183.21</v>
      </c>
      <c r="E5" s="30" t="n">
        <v>25694.12</v>
      </c>
      <c r="F5" s="30" t="n">
        <v>14257.61</v>
      </c>
      <c r="G5" s="30" t="n">
        <v>12172.66</v>
      </c>
    </row>
    <row r="6">
      <c r="A6" s="29" t="inlineStr">
        <is>
          <t>Other Income</t>
        </is>
      </c>
      <c r="B6" s="30" t="n">
        <v>322.61</v>
      </c>
      <c r="C6" s="30" t="n">
        <v>487.21</v>
      </c>
      <c r="D6" s="30" t="n">
        <v>344.32</v>
      </c>
      <c r="E6" s="30" t="n">
        <v>381.85</v>
      </c>
      <c r="F6" s="30" t="n">
        <v>235.04</v>
      </c>
      <c r="G6" s="30" t="n">
        <v>141.81</v>
      </c>
    </row>
    <row r="7">
      <c r="A7" s="15" t="inlineStr">
        <is>
          <t>Total Income</t>
        </is>
      </c>
      <c r="B7" s="31" t="n">
        <v>29288.92</v>
      </c>
      <c r="C7" s="31" t="n">
        <v>29652.47</v>
      </c>
      <c r="D7" s="31" t="n">
        <v>27527.53</v>
      </c>
      <c r="E7" s="31" t="n">
        <v>26075.97</v>
      </c>
      <c r="F7" s="31" t="n">
        <v>14492.65</v>
      </c>
      <c r="G7" s="31" t="n">
        <v>12314.47</v>
      </c>
    </row>
    <row r="8">
      <c r="A8" s="28" t="inlineStr">
        <is>
          <t>Expenses</t>
        </is>
      </c>
      <c r="B8" s="11" t="n"/>
      <c r="C8" s="11" t="n"/>
      <c r="D8" s="11" t="n"/>
      <c r="E8" s="11" t="n"/>
      <c r="F8" s="11" t="n"/>
      <c r="G8" s="11" t="n"/>
    </row>
    <row r="9">
      <c r="A9" s="29" t="inlineStr">
        <is>
          <t>Electrical Energy Purchased</t>
        </is>
      </c>
      <c r="B9" s="30" t="n">
        <v>15053.7</v>
      </c>
      <c r="C9" s="30" t="n">
        <v>15289.81</v>
      </c>
      <c r="D9" s="30" t="n">
        <v>13743.27</v>
      </c>
      <c r="E9" s="30" t="n">
        <v>14440.53</v>
      </c>
      <c r="F9" s="30" t="n">
        <v>5116.39</v>
      </c>
      <c r="G9" s="30" t="n">
        <v>3358.36</v>
      </c>
    </row>
    <row r="10">
      <c r="A10" s="29" t="inlineStr">
        <is>
          <t>Fuel Cost</t>
        </is>
      </c>
      <c r="B10" s="30" t="n">
        <v>3944.21</v>
      </c>
      <c r="C10" s="30" t="n">
        <v>4877.69</v>
      </c>
      <c r="D10" s="30" t="n">
        <v>5647.95</v>
      </c>
      <c r="E10" s="30" t="n">
        <v>2508.23</v>
      </c>
      <c r="F10" s="30" t="n">
        <v>3403.4</v>
      </c>
      <c r="G10" s="30" t="n">
        <v>3610.55</v>
      </c>
    </row>
    <row r="11">
      <c r="A11" s="29" t="inlineStr">
        <is>
          <t>Cost of Materials Consumed</t>
        </is>
      </c>
      <c r="B11" s="11" t="n"/>
      <c r="C11" s="30" t="n">
        <v>213.46</v>
      </c>
      <c r="D11" s="30" t="n">
        <v>406.5</v>
      </c>
      <c r="E11" s="30" t="n">
        <v>334.81</v>
      </c>
      <c r="F11" s="30" t="n">
        <v>262.64</v>
      </c>
      <c r="G11" s="30" t="n">
        <v>104.21</v>
      </c>
    </row>
    <row r="12">
      <c r="A12" s="29" t="inlineStr">
        <is>
          <t>Employee Benefits Expense</t>
        </is>
      </c>
      <c r="B12" s="30" t="n">
        <v>705.8</v>
      </c>
      <c r="C12" s="30" t="n">
        <v>689.96</v>
      </c>
      <c r="D12" s="30" t="n">
        <v>611.1900000000001</v>
      </c>
      <c r="E12" s="30" t="n">
        <v>578.25</v>
      </c>
      <c r="F12" s="30" t="n">
        <v>533.54</v>
      </c>
      <c r="G12" s="30" t="n">
        <v>538.9400000000001</v>
      </c>
    </row>
    <row r="13">
      <c r="A13" s="29" t="inlineStr">
        <is>
          <t>Finance Costs</t>
        </is>
      </c>
      <c r="B13" s="30" t="n">
        <v>934.47</v>
      </c>
      <c r="C13" s="30" t="n">
        <v>1044.87</v>
      </c>
      <c r="D13" s="30" t="n">
        <v>943.4</v>
      </c>
      <c r="E13" s="30" t="n">
        <v>818.2</v>
      </c>
      <c r="F13" s="30" t="n">
        <v>628.21</v>
      </c>
      <c r="G13" s="30" t="n">
        <v>775.73</v>
      </c>
    </row>
    <row r="14">
      <c r="A14" s="29" t="inlineStr">
        <is>
          <t>Depreciation &amp; Amortisation</t>
        </is>
      </c>
      <c r="B14" s="30" t="n">
        <v>1612.75</v>
      </c>
      <c r="C14" s="30" t="n">
        <v>1497.12</v>
      </c>
      <c r="D14" s="30" t="n">
        <v>1377.5</v>
      </c>
      <c r="E14" s="30" t="n">
        <v>1280.96</v>
      </c>
      <c r="F14" s="30" t="n">
        <v>1333.86</v>
      </c>
      <c r="G14" s="30" t="n">
        <v>1279.55</v>
      </c>
    </row>
    <row r="15">
      <c r="A15" s="29" t="inlineStr">
        <is>
          <t>Other Expenses</t>
        </is>
      </c>
      <c r="B15" s="30" t="n">
        <v>2127.55</v>
      </c>
      <c r="C15" s="30" t="n">
        <v>1682.96</v>
      </c>
      <c r="D15" s="30" t="n">
        <v>1504.14</v>
      </c>
      <c r="E15" s="30" t="n">
        <v>1223.56</v>
      </c>
      <c r="F15" s="30" t="n">
        <v>1055.76</v>
      </c>
      <c r="G15" s="30" t="n">
        <v>1038.26</v>
      </c>
    </row>
    <row r="16">
      <c r="A16" s="15" t="inlineStr">
        <is>
          <t>Total Expenses</t>
        </is>
      </c>
      <c r="B16" s="31" t="n">
        <v>25972.15</v>
      </c>
      <c r="C16" s="31" t="n">
        <v>26399.89</v>
      </c>
      <c r="D16" s="31" t="n">
        <v>24944.93</v>
      </c>
      <c r="E16" s="31" t="n">
        <v>23034.61</v>
      </c>
      <c r="F16" s="31" t="n">
        <v>12628.68</v>
      </c>
      <c r="G16" s="31" t="n">
        <v>10762.7</v>
      </c>
    </row>
    <row r="17">
      <c r="A17" s="15" t="inlineStr">
        <is>
          <t>Profit Before Exceptional Items and Tax</t>
        </is>
      </c>
      <c r="B17" s="31" t="n">
        <v>3316.77</v>
      </c>
      <c r="C17" s="31" t="n">
        <v>3252.58</v>
      </c>
      <c r="D17" s="31" t="n">
        <v>2582.6</v>
      </c>
      <c r="E17" s="31" t="n">
        <v>3041.36</v>
      </c>
      <c r="F17" s="31" t="n">
        <v>1863.97</v>
      </c>
      <c r="G17" s="31" t="n">
        <v>1551.77</v>
      </c>
    </row>
    <row r="18">
      <c r="A18" s="29" t="inlineStr">
        <is>
          <t>Exceptional Items (DGEN plant impairment, FY22)</t>
        </is>
      </c>
      <c r="B18" s="11" t="n"/>
      <c r="C18" s="11" t="n"/>
      <c r="D18" s="11" t="n"/>
      <c r="E18" s="11" t="n"/>
      <c r="F18" s="30" t="n">
        <v>1300</v>
      </c>
      <c r="G18" s="30" t="n">
        <v>0</v>
      </c>
    </row>
    <row r="19">
      <c r="A19" s="15" t="inlineStr">
        <is>
          <t>Profit Before Tax</t>
        </is>
      </c>
      <c r="B19" s="32" t="n"/>
      <c r="C19" s="32" t="n"/>
      <c r="D19" s="32" t="n"/>
      <c r="E19" s="32" t="n"/>
      <c r="F19" s="31" t="n">
        <v>563.97</v>
      </c>
      <c r="G19" s="31" t="n">
        <v>1551.77</v>
      </c>
    </row>
    <row r="20">
      <c r="A20" s="29" t="inlineStr">
        <is>
          <t>Total Tax Expense</t>
        </is>
      </c>
      <c r="B20" s="11" t="n"/>
      <c r="C20" s="11" t="n"/>
      <c r="D20" s="11" t="n"/>
      <c r="E20" s="11" t="n"/>
      <c r="F20" s="30" t="n">
        <v>105.27</v>
      </c>
      <c r="G20" s="30" t="n">
        <v>255.9</v>
      </c>
    </row>
    <row r="21">
      <c r="A21" s="15" t="inlineStr">
        <is>
          <t>Profit for the Year (PAT, consolidated)</t>
        </is>
      </c>
      <c r="B21" s="31" t="n">
        <v>2469.36</v>
      </c>
      <c r="C21" s="31" t="n">
        <v>3058.61</v>
      </c>
      <c r="D21" s="31" t="n">
        <v>1896</v>
      </c>
      <c r="E21" s="31" t="n">
        <v>2164.67</v>
      </c>
      <c r="F21" s="31" t="n">
        <v>458.7</v>
      </c>
      <c r="G21" s="31" t="n">
        <v>1295.87</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2026-07-16T06:03:34Z</dcterms:created>
  <dcterms:modified xsi:type="dcterms:W3CDTF">2026-07-16T06:57:40Z</dcterms:modified>
</cp:coreProperties>
</file>
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2.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drawings/drawing3.xml" ContentType="application/vnd.openxmlformats-officedocument.drawing+xml"/>
  <Override PartName="/xl/worksheets/sheet16.xml" ContentType="application/vnd.openxmlformats-officedocument.spreadsheetml.worksheet+xml"/>
  <Override PartName="/xl/worksheets/sheet17.xml" ContentType="application/vnd.openxmlformats-officedocument.spreadsheetml.worksheet+xml"/>
  <Override PartName="/xl/drawings/drawing4.xml" ContentType="application/vnd.openxmlformats-officedocument.drawing+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FS_Extracts" sheetId="2" state="visible" r:id="rId2"/>
    <sheet name="1_Business_Overview" sheetId="3" state="visible" r:id="rId3"/>
    <sheet name="2_Growth_Comparison" sheetId="4" state="visible" r:id="rId4"/>
    <sheet name="2b_Growth_Chart_Data" sheetId="5" state="hidden" r:id="rId5"/>
    <sheet name="3_Sales_per_Asset_Employee" sheetId="6" state="visible" r:id="rId6"/>
    <sheet name="4_Acquisitions" sheetId="7" state="visible" r:id="rId7"/>
    <sheet name="5_Shareholding_Pattern" sheetId="8" state="visible" r:id="rId8"/>
    <sheet name="6_Business_Segments" sheetId="9" state="visible" r:id="rId9"/>
    <sheet name="6b_Segment_Chart_Data" sheetId="10" state="hidden" r:id="rId10"/>
    <sheet name="7_Group_Structure" sheetId="11" state="visible" r:id="rId11"/>
    <sheet name="8_Associates_JVs" sheetId="12" state="visible" r:id="rId12"/>
    <sheet name="9_Investments" sheetId="13" state="visible" r:id="rId13"/>
    <sheet name="10_Financing_Changes" sheetId="14" state="visible" r:id="rId14"/>
    <sheet name="11_Returns_Volatility" sheetId="15" state="visible" r:id="rId15"/>
    <sheet name="Weekly_Price_Data" sheetId="16" state="visible" r:id="rId16"/>
    <sheet name="12_Major_Announcements" sheetId="17" state="visible" r:id="rId17"/>
    <sheet name="12b_Announcement_Chart_Data" sheetId="18" state="hidden" r:id="rId18"/>
    <sheet name="13_Sources_and_Gaps" sheetId="19" state="visible" r:id="rId19"/>
    <sheet name="Adani_BS_Consolidated" sheetId="20" state="visible" r:id="rId20"/>
    <sheet name="Adani_PL_Consolidated" sheetId="21" state="visible" r:id="rId21"/>
    <sheet name="Tata_BS_Consolidated" sheetId="22" state="visible" r:id="rId22"/>
    <sheet name="Tata_PL_Consolidated" sheetId="23" state="visible" r:id="rId23"/>
    <sheet name="Torrent_BS_Consolidated" sheetId="24" state="visible" r:id="rId24"/>
    <sheet name="Torrent_PL_Consolidated" sheetId="25" state="visible" r:id="rId25"/>
  </sheets>
  <definedNames/>
  <calcPr calcId="124519" fullCalcOnLoad="1"/>
</workbook>
</file>

<file path=xl/styles.xml><?xml version="1.0" encoding="utf-8"?>
<styleSheet xmlns="http://schemas.openxmlformats.org/spreadsheetml/2006/main">
  <numFmts count="1">
    <numFmt numFmtId="164" formatCode="0.0%"/>
  </numFmts>
  <fonts count="18">
    <font>
      <name val="Calibri"/>
      <family val="2"/>
      <color theme="1"/>
      <sz val="11"/>
      <scheme val="minor"/>
    </font>
    <font>
      <b val="1"/>
      <color rgb="001F4E78"/>
      <sz val="20"/>
    </font>
    <font>
      <b val="1"/>
    </font>
    <font>
      <b val="1"/>
      <color rgb="001F4E78"/>
      <sz val="13"/>
    </font>
    <font>
      <b val="1"/>
      <color rgb="00C00000"/>
      <sz val="12"/>
    </font>
    <font>
      <i val="1"/>
    </font>
    <font>
      <b val="1"/>
      <color rgb="001F4E78"/>
      <sz val="16"/>
    </font>
    <font>
      <i val="1"/>
      <color rgb="00808080"/>
      <sz val="10"/>
    </font>
    <font>
      <b val="1"/>
      <color rgb="001F4E78"/>
      <sz val="12"/>
    </font>
    <font>
      <b val="1"/>
      <color rgb="00FFFFFF"/>
      <sz val="11"/>
    </font>
    <font>
      <i val="1"/>
      <color rgb="00808080"/>
      <sz val="9"/>
    </font>
    <font>
      <b val="1"/>
      <color rgb="00C00000"/>
    </font>
    <font>
      <b val="1"/>
      <i val="1"/>
    </font>
    <font>
      <b val="1"/>
      <color rgb="00008000"/>
    </font>
    <font>
      <b val="1"/>
      <color rgb="00008000"/>
      <sz val="12"/>
    </font>
    <font>
      <b val="1"/>
      <color rgb="00FFFFFF"/>
    </font>
    <font/>
    <font>
      <b val="1"/>
      <color rgb="001F4E78"/>
      <sz val="11"/>
    </font>
  </fonts>
  <fills count="5">
    <fill>
      <patternFill/>
    </fill>
    <fill>
      <patternFill patternType="gray125"/>
    </fill>
    <fill>
      <patternFill patternType="solid">
        <fgColor rgb="00FFF2CC"/>
      </patternFill>
    </fill>
    <fill>
      <patternFill patternType="solid">
        <fgColor rgb="001F4E78"/>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0" fillId="2" borderId="0" pivotButton="0" quotePrefix="0" xfId="0"/>
    <xf numFmtId="0" fontId="3" fillId="0" borderId="0" pivotButton="0" quotePrefix="0" xfId="0"/>
    <xf numFmtId="0" fontId="4" fillId="0" borderId="0" pivotButton="0" quotePrefix="0" xfId="0"/>
    <xf numFmtId="0" fontId="5" fillId="0" borderId="0" applyAlignment="1" pivotButton="0" quotePrefix="0" xfId="0">
      <alignment vertical="top" wrapText="1"/>
    </xf>
    <xf numFmtId="0" fontId="6" fillId="0" borderId="0" pivotButton="0" quotePrefix="0" xfId="0"/>
    <xf numFmtId="0" fontId="7" fillId="0" borderId="0" pivotButton="0" quotePrefix="0" xfId="0"/>
    <xf numFmtId="0" fontId="8" fillId="0" borderId="0" pivotButton="0" quotePrefix="0" xfId="0"/>
    <xf numFmtId="0" fontId="9" fillId="3" borderId="1" applyAlignment="1" pivotButton="0" quotePrefix="0" xfId="0">
      <alignment horizontal="center" vertical="center" wrapText="1"/>
    </xf>
    <xf numFmtId="0" fontId="0" fillId="0" borderId="1" pivotButton="0" quotePrefix="0" xfId="0"/>
    <xf numFmtId="0" fontId="10" fillId="0" borderId="0" pivotButton="0" quotePrefix="0" xfId="0"/>
    <xf numFmtId="0" fontId="11" fillId="0" borderId="0" pivotButton="0" quotePrefix="0" xfId="0"/>
    <xf numFmtId="0" fontId="0" fillId="0" borderId="0" applyAlignment="1" pivotButton="0" quotePrefix="0" xfId="0">
      <alignment vertical="top" wrapText="1"/>
    </xf>
    <xf numFmtId="0" fontId="2" fillId="0" borderId="1" pivotButton="0" quotePrefix="0" xfId="0"/>
    <xf numFmtId="0" fontId="0" fillId="0" borderId="1" applyAlignment="1" pivotButton="0" quotePrefix="0" xfId="0">
      <alignment vertical="top" wrapText="1"/>
    </xf>
    <xf numFmtId="164" fontId="0" fillId="0" borderId="0" pivotButton="0" quotePrefix="0" xfId="0"/>
    <xf numFmtId="0" fontId="12" fillId="0" borderId="0" pivotButton="0" quotePrefix="0" xfId="0"/>
    <xf numFmtId="2" fontId="0" fillId="0" borderId="0" pivotButton="0" quotePrefix="0" xfId="0"/>
    <xf numFmtId="0" fontId="0" fillId="2" borderId="1" applyAlignment="1" pivotButton="0" quotePrefix="0" xfId="0">
      <alignment vertical="top" wrapText="1"/>
    </xf>
    <xf numFmtId="0" fontId="5" fillId="0" borderId="0" pivotButton="0" quotePrefix="0" xfId="0"/>
    <xf numFmtId="0" fontId="13" fillId="0" borderId="0" pivotButton="0" quotePrefix="0" xfId="0"/>
    <xf numFmtId="0" fontId="14" fillId="0" borderId="0" pivotButton="0" quotePrefix="0" xfId="0"/>
    <xf numFmtId="0" fontId="17" fillId="0" borderId="0" pivotButton="0" quotePrefix="0" xfId="0"/>
    <xf numFmtId="0" fontId="10" fillId="0" borderId="0" applyAlignment="1" pivotButton="0" quotePrefix="0" xfId="0">
      <alignment wrapText="1"/>
    </xf>
    <xf numFmtId="0" fontId="15" fillId="3" borderId="0" pivotButton="0" quotePrefix="0" xfId="0"/>
    <xf numFmtId="0" fontId="15" fillId="3" borderId="0" applyAlignment="1" pivotButton="0" quotePrefix="0" xfId="0">
      <alignment horizontal="center"/>
    </xf>
    <xf numFmtId="0" fontId="12" fillId="0" borderId="1" pivotButton="0" quotePrefix="0" xfId="0"/>
    <xf numFmtId="0" fontId="16" fillId="0" borderId="1" pivotButton="0" quotePrefix="0" xfId="0"/>
    <xf numFmtId="4" fontId="0" fillId="0" borderId="1" pivotButton="0" quotePrefix="0" xfId="0"/>
    <xf numFmtId="4" fontId="2" fillId="4" borderId="1" pivotButton="0" quotePrefix="0" xfId="0"/>
    <xf numFmtId="0" fontId="2"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styles" Target="styles.xml" Id="rId26" /><Relationship Type="http://schemas.openxmlformats.org/officeDocument/2006/relationships/theme" Target="theme/theme1.xml" Id="rId27" /></Relationships>
</file>

<file path=xl/charts/chart1.xml><?xml version="1.0" encoding="utf-8"?>
<chartSpace xmlns:a="http://schemas.openxmlformats.org/drawingml/2006/main" xmlns="http://schemas.openxmlformats.org/drawingml/2006/chart">
  <chart>
    <title>
      <tx>
        <rich>
          <a:bodyPr/>
          <a:p>
            <a:pPr>
              <a:defRPr/>
            </a:pPr>
            <a:r>
              <a:t>Revenue / Total Income Trend, FY22-FY26 (₹ crore)</a:t>
            </a:r>
          </a:p>
        </rich>
      </tx>
    </title>
    <plotArea>
      <barChart>
        <barDir val="col"/>
        <grouping val="clustered"/>
        <ser>
          <idx val="0"/>
          <order val="0"/>
          <tx>
            <strRef>
              <f>'2b_Growth_Chart_Data'!B1</f>
            </strRef>
          </tx>
          <spPr>
            <a:ln>
              <a:prstDash val="solid"/>
            </a:ln>
          </spPr>
          <cat>
            <numRef>
              <f>'2b_Growth_Chart_Data'!$A$2:$A$6</f>
            </numRef>
          </cat>
          <val>
            <numRef>
              <f>'2b_Growth_Chart_Data'!$B$2:$B$6</f>
            </numRef>
          </val>
        </ser>
        <ser>
          <idx val="1"/>
          <order val="1"/>
          <tx>
            <strRef>
              <f>'2b_Growth_Chart_Data'!C1</f>
            </strRef>
          </tx>
          <spPr>
            <a:ln>
              <a:prstDash val="solid"/>
            </a:ln>
          </spPr>
          <cat>
            <numRef>
              <f>'2b_Growth_Chart_Data'!$A$2:$A$6</f>
            </numRef>
          </cat>
          <val>
            <numRef>
              <f>'2b_Growth_Chart_Data'!$C$2:$C$6</f>
            </numRef>
          </val>
        </ser>
        <ser>
          <idx val="2"/>
          <order val="2"/>
          <tx>
            <strRef>
              <f>'2b_Growth_Chart_Data'!D1</f>
            </strRef>
          </tx>
          <spPr>
            <a:ln>
              <a:prstDash val="solid"/>
            </a:ln>
          </spPr>
          <cat>
            <numRef>
              <f>'2b_Growth_Chart_Data'!$A$2:$A$6</f>
            </numRef>
          </cat>
          <val>
            <numRef>
              <f>'2b_Growth_Chart_Data'!$D$2:$D$6</f>
            </numRef>
          </val>
        </ser>
        <gapWidth val="150"/>
        <axId val="10"/>
        <axId val="100"/>
      </barChart>
      <catAx>
        <axId val="10"/>
        <scaling>
          <orientation val="minMax"/>
        </scaling>
        <axPos val="l"/>
        <title>
          <tx>
            <rich>
              <a:bodyPr/>
              <a:p>
                <a:pPr>
                  <a:defRPr/>
                </a:pPr>
                <a:r>
                  <a:t>Fiscal Year</a:t>
                </a:r>
              </a:p>
            </rich>
          </tx>
        </title>
        <majorTickMark val="none"/>
        <minorTickMark val="none"/>
        <crossAx val="100"/>
        <lblOffset val="100"/>
      </catAx>
      <valAx>
        <axId val="100"/>
        <scaling>
          <orientation val="minMax"/>
        </scaling>
        <axPos val="l"/>
        <majorGridlines/>
        <title>
          <tx>
            <rich>
              <a:bodyPr/>
              <a:p>
                <a:pPr>
                  <a:defRPr/>
                </a:pPr>
                <a:r>
                  <a:t>₹ crore</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Net Profit / PAT Trend, FY22-FY26 (₹ crore)</a:t>
            </a:r>
          </a:p>
        </rich>
      </tx>
    </title>
    <plotArea>
      <barChart>
        <barDir val="col"/>
        <grouping val="clustered"/>
        <ser>
          <idx val="0"/>
          <order val="0"/>
          <tx>
            <strRef>
              <f>'2b_Growth_Chart_Data'!B8</f>
            </strRef>
          </tx>
          <spPr>
            <a:ln>
              <a:prstDash val="solid"/>
            </a:ln>
          </spPr>
          <cat>
            <numRef>
              <f>'2b_Growth_Chart_Data'!$A$9:$A$13</f>
            </numRef>
          </cat>
          <val>
            <numRef>
              <f>'2b_Growth_Chart_Data'!$B$9:$B$13</f>
            </numRef>
          </val>
        </ser>
        <ser>
          <idx val="1"/>
          <order val="1"/>
          <tx>
            <strRef>
              <f>'2b_Growth_Chart_Data'!C8</f>
            </strRef>
          </tx>
          <spPr>
            <a:ln>
              <a:prstDash val="solid"/>
            </a:ln>
          </spPr>
          <cat>
            <numRef>
              <f>'2b_Growth_Chart_Data'!$A$9:$A$13</f>
            </numRef>
          </cat>
          <val>
            <numRef>
              <f>'2b_Growth_Chart_Data'!$C$9:$C$13</f>
            </numRef>
          </val>
        </ser>
        <ser>
          <idx val="2"/>
          <order val="2"/>
          <tx>
            <strRef>
              <f>'2b_Growth_Chart_Data'!D8</f>
            </strRef>
          </tx>
          <spPr>
            <a:ln>
              <a:prstDash val="solid"/>
            </a:ln>
          </spPr>
          <cat>
            <numRef>
              <f>'2b_Growth_Chart_Data'!$A$9:$A$13</f>
            </numRef>
          </cat>
          <val>
            <numRef>
              <f>'2b_Growth_Chart_Data'!$D$9:$D$13</f>
            </numRef>
          </val>
        </ser>
        <gapWidth val="150"/>
        <axId val="10"/>
        <axId val="100"/>
      </barChart>
      <catAx>
        <axId val="10"/>
        <scaling>
          <orientation val="minMax"/>
        </scaling>
        <axPos val="l"/>
        <title>
          <tx>
            <rich>
              <a:bodyPr/>
              <a:p>
                <a:pPr>
                  <a:defRPr/>
                </a:pPr>
                <a:r>
                  <a:t>Fiscal Year</a:t>
                </a:r>
              </a:p>
            </rich>
          </tx>
        </title>
        <majorTickMark val="none"/>
        <minorTickMark val="none"/>
        <crossAx val="100"/>
        <lblOffset val="100"/>
      </catAx>
      <valAx>
        <axId val="100"/>
        <scaling>
          <orientation val="minMax"/>
        </scaling>
        <axPos val="l"/>
        <majorGridlines/>
        <title>
          <tx>
            <rich>
              <a:bodyPr/>
              <a:p>
                <a:pPr>
                  <a:defRPr/>
                </a:pPr>
                <a:r>
                  <a:t>₹ crore</a:t>
                </a:r>
              </a:p>
            </rich>
          </tx>
        </title>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Total Assets Trend, FY22-FY26 (₹ crore, consolidated)</a:t>
            </a:r>
          </a:p>
        </rich>
      </tx>
    </title>
    <plotArea>
      <barChart>
        <barDir val="col"/>
        <grouping val="clustered"/>
        <ser>
          <idx val="0"/>
          <order val="0"/>
          <tx>
            <strRef>
              <f>'2b_Growth_Chart_Data'!B15</f>
            </strRef>
          </tx>
          <spPr>
            <a:ln>
              <a:prstDash val="solid"/>
            </a:ln>
          </spPr>
          <cat>
            <numRef>
              <f>'2b_Growth_Chart_Data'!$A$16:$A$20</f>
            </numRef>
          </cat>
          <val>
            <numRef>
              <f>'2b_Growth_Chart_Data'!$B$16:$B$20</f>
            </numRef>
          </val>
        </ser>
        <ser>
          <idx val="1"/>
          <order val="1"/>
          <tx>
            <strRef>
              <f>'2b_Growth_Chart_Data'!C15</f>
            </strRef>
          </tx>
          <spPr>
            <a:ln>
              <a:prstDash val="solid"/>
            </a:ln>
          </spPr>
          <cat>
            <numRef>
              <f>'2b_Growth_Chart_Data'!$A$16:$A$20</f>
            </numRef>
          </cat>
          <val>
            <numRef>
              <f>'2b_Growth_Chart_Data'!$C$16:$C$20</f>
            </numRef>
          </val>
        </ser>
        <ser>
          <idx val="2"/>
          <order val="2"/>
          <tx>
            <strRef>
              <f>'2b_Growth_Chart_Data'!D15</f>
            </strRef>
          </tx>
          <spPr>
            <a:ln>
              <a:prstDash val="solid"/>
            </a:ln>
          </spPr>
          <cat>
            <numRef>
              <f>'2b_Growth_Chart_Data'!$A$16:$A$20</f>
            </numRef>
          </cat>
          <val>
            <numRef>
              <f>'2b_Growth_Chart_Data'!$D$16:$D$20</f>
            </numRef>
          </val>
        </ser>
        <gapWidth val="150"/>
        <axId val="10"/>
        <axId val="100"/>
      </barChart>
      <catAx>
        <axId val="10"/>
        <scaling>
          <orientation val="minMax"/>
        </scaling>
        <axPos val="l"/>
        <title>
          <tx>
            <rich>
              <a:bodyPr/>
              <a:p>
                <a:pPr>
                  <a:defRPr/>
                </a:pPr>
                <a:r>
                  <a:t>Fiscal Year</a:t>
                </a:r>
              </a:p>
            </rich>
          </tx>
        </title>
        <majorTickMark val="none"/>
        <minorTickMark val="none"/>
        <crossAx val="100"/>
        <lblOffset val="100"/>
      </catAx>
      <valAx>
        <axId val="100"/>
        <scaling>
          <orientation val="minMax"/>
        </scaling>
        <axPos val="l"/>
        <majorGridlines/>
        <title>
          <tx>
            <rich>
              <a:bodyPr/>
              <a:p>
                <a:pPr>
                  <a:defRPr/>
                </a:pPr>
                <a:r>
                  <a:t>₹ crore</a:t>
                </a:r>
              </a:p>
            </rich>
          </tx>
        </title>
        <majorTickMark val="none"/>
        <minorTickMark val="none"/>
        <crossAx val="10"/>
      </valAx>
    </plotArea>
    <legend>
      <legendPos val="r"/>
    </legend>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Segment Revenue Trends FY22-FY26 (₹ crore): Tata segments vs Adani Generation</a:t>
            </a:r>
          </a:p>
        </rich>
      </tx>
    </title>
    <plotArea>
      <lineChart>
        <grouping val="standard"/>
        <ser>
          <idx val="0"/>
          <order val="0"/>
          <tx>
            <strRef>
              <f>'6b_Segment_Chart_Data'!B1</f>
            </strRef>
          </tx>
          <spPr>
            <a:ln>
              <a:prstDash val="solid"/>
            </a:ln>
          </spPr>
          <marker>
            <symbol val="none"/>
            <spPr>
              <a:ln>
                <a:prstDash val="solid"/>
              </a:ln>
            </spPr>
          </marker>
          <cat>
            <numRef>
              <f>'6b_Segment_Chart_Data'!$A$2:$A$6</f>
            </numRef>
          </cat>
          <val>
            <numRef>
              <f>'6b_Segment_Chart_Data'!$B$2:$B$6</f>
            </numRef>
          </val>
        </ser>
        <ser>
          <idx val="1"/>
          <order val="1"/>
          <tx>
            <strRef>
              <f>'6b_Segment_Chart_Data'!C1</f>
            </strRef>
          </tx>
          <spPr>
            <a:ln>
              <a:prstDash val="solid"/>
            </a:ln>
          </spPr>
          <marker>
            <symbol val="none"/>
            <spPr>
              <a:ln>
                <a:prstDash val="solid"/>
              </a:ln>
            </spPr>
          </marker>
          <cat>
            <numRef>
              <f>'6b_Segment_Chart_Data'!$A$2:$A$6</f>
            </numRef>
          </cat>
          <val>
            <numRef>
              <f>'6b_Segment_Chart_Data'!$C$2:$C$6</f>
            </numRef>
          </val>
        </ser>
        <ser>
          <idx val="2"/>
          <order val="2"/>
          <tx>
            <strRef>
              <f>'6b_Segment_Chart_Data'!D1</f>
            </strRef>
          </tx>
          <spPr>
            <a:ln>
              <a:prstDash val="solid"/>
            </a:ln>
          </spPr>
          <marker>
            <symbol val="none"/>
            <spPr>
              <a:ln>
                <a:prstDash val="solid"/>
              </a:ln>
            </spPr>
          </marker>
          <cat>
            <numRef>
              <f>'6b_Segment_Chart_Data'!$A$2:$A$6</f>
            </numRef>
          </cat>
          <val>
            <numRef>
              <f>'6b_Segment_Chart_Data'!$D$2:$D$6</f>
            </numRef>
          </val>
        </ser>
        <ser>
          <idx val="3"/>
          <order val="3"/>
          <tx>
            <strRef>
              <f>'6b_Segment_Chart_Data'!E1</f>
            </strRef>
          </tx>
          <spPr>
            <a:ln>
              <a:prstDash val="solid"/>
            </a:ln>
          </spPr>
          <marker>
            <symbol val="none"/>
            <spPr>
              <a:ln>
                <a:prstDash val="solid"/>
              </a:ln>
            </spPr>
          </marker>
          <cat>
            <numRef>
              <f>'6b_Segment_Chart_Data'!$A$2:$A$6</f>
            </numRef>
          </cat>
          <val>
            <numRef>
              <f>'6b_Segment_Chart_Data'!$E$2:$E$6</f>
            </numRef>
          </val>
        </ser>
        <axId val="10"/>
        <axId val="100"/>
      </lineChart>
      <catAx>
        <axId val="10"/>
        <scaling>
          <orientation val="minMax"/>
        </scaling>
        <axPos val="l"/>
        <title>
          <tx>
            <rich>
              <a:bodyPr/>
              <a:p>
                <a:pPr>
                  <a:defRPr/>
                </a:pPr>
                <a:r>
                  <a:t>Fiscal Year</a:t>
                </a:r>
              </a:p>
            </rich>
          </tx>
        </title>
        <majorTickMark val="none"/>
        <minorTickMark val="none"/>
        <crossAx val="100"/>
        <lblOffset val="100"/>
      </catAx>
      <valAx>
        <axId val="100"/>
        <scaling>
          <orientation val="minMax"/>
        </scaling>
        <axPos val="l"/>
        <majorGridlines/>
        <title>
          <tx>
            <rich>
              <a:bodyPr/>
              <a:p>
                <a:pPr>
                  <a:defRPr/>
                </a:pPr>
                <a:r>
                  <a:t>₹ crore</a:t>
                </a:r>
              </a:p>
            </rich>
          </tx>
        </title>
        <majorTickMark val="none"/>
        <minorTickMark val="none"/>
        <crossAx val="10"/>
      </valAx>
    </plotArea>
    <legend>
      <legendPos val="r"/>
    </legend>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1-Year Performance, Rebased to 100 (weekly adj close, 14-Jul-2025 = 100)</a:t>
            </a:r>
          </a:p>
        </rich>
      </tx>
    </title>
    <plotArea>
      <lineChart>
        <grouping val="standard"/>
        <ser>
          <idx val="0"/>
          <order val="0"/>
          <tx>
            <strRef>
              <f>'Weekly_Price_Data'!K1</f>
            </strRef>
          </tx>
          <spPr>
            <a:ln>
              <a:prstDash val="solid"/>
            </a:ln>
          </spPr>
          <marker>
            <symbol val="none"/>
            <spPr>
              <a:ln>
                <a:prstDash val="solid"/>
              </a:ln>
            </spPr>
          </marker>
          <cat>
            <numRef>
              <f>'Weekly_Price_Data'!$A$2:$A$55</f>
            </numRef>
          </cat>
          <val>
            <numRef>
              <f>'Weekly_Price_Data'!$K$2:$K$55</f>
            </numRef>
          </val>
        </ser>
        <ser>
          <idx val="1"/>
          <order val="1"/>
          <tx>
            <strRef>
              <f>'Weekly_Price_Data'!L1</f>
            </strRef>
          </tx>
          <spPr>
            <a:ln>
              <a:prstDash val="solid"/>
            </a:ln>
          </spPr>
          <marker>
            <symbol val="none"/>
            <spPr>
              <a:ln>
                <a:prstDash val="solid"/>
              </a:ln>
            </spPr>
          </marker>
          <cat>
            <numRef>
              <f>'Weekly_Price_Data'!$A$2:$A$55</f>
            </numRef>
          </cat>
          <val>
            <numRef>
              <f>'Weekly_Price_Data'!$L$2:$L$55</f>
            </numRef>
          </val>
        </ser>
        <ser>
          <idx val="2"/>
          <order val="2"/>
          <tx>
            <strRef>
              <f>'Weekly_Price_Data'!M1</f>
            </strRef>
          </tx>
          <spPr>
            <a:ln>
              <a:prstDash val="solid"/>
            </a:ln>
          </spPr>
          <marker>
            <symbol val="none"/>
            <spPr>
              <a:ln>
                <a:prstDash val="solid"/>
              </a:ln>
            </spPr>
          </marker>
          <cat>
            <numRef>
              <f>'Weekly_Price_Data'!$A$2:$A$55</f>
            </numRef>
          </cat>
          <val>
            <numRef>
              <f>'Weekly_Price_Data'!$M$2:$M$55</f>
            </numRef>
          </val>
        </ser>
        <ser>
          <idx val="3"/>
          <order val="3"/>
          <tx>
            <strRef>
              <f>'Weekly_Price_Data'!N1</f>
            </strRef>
          </tx>
          <spPr>
            <a:ln>
              <a:prstDash val="solid"/>
            </a:ln>
          </spPr>
          <marker>
            <symbol val="none"/>
            <spPr>
              <a:ln>
                <a:prstDash val="solid"/>
              </a:ln>
            </spPr>
          </marker>
          <cat>
            <numRef>
              <f>'Weekly_Price_Data'!$A$2:$A$55</f>
            </numRef>
          </cat>
          <val>
            <numRef>
              <f>'Weekly_Price_Data'!$N$2:$N$55</f>
            </numRef>
          </val>
        </ser>
        <axId val="10"/>
        <axId val="100"/>
      </lineChart>
      <catAx>
        <axId val="10"/>
        <scaling>
          <orientation val="minMax"/>
        </scaling>
        <axPos val="l"/>
        <title>
          <tx>
            <rich>
              <a:bodyPr/>
              <a:p>
                <a:pPr>
                  <a:defRPr/>
                </a:pPr>
                <a:r>
                  <a:t>Week ending</a:t>
                </a:r>
              </a:p>
            </rich>
          </tx>
        </title>
        <majorTickMark val="none"/>
        <minorTickMark val="none"/>
        <crossAx val="100"/>
        <lblOffset val="100"/>
      </catAx>
      <valAx>
        <axId val="100"/>
        <scaling>
          <orientation val="minMax"/>
        </scaling>
        <axPos val="l"/>
        <majorGridlines/>
        <title>
          <tx>
            <rich>
              <a:bodyPr/>
              <a:p>
                <a:pPr>
                  <a:defRPr/>
                </a:pPr>
                <a:r>
                  <a:t>Index (start = 100)</a:t>
                </a:r>
              </a:p>
            </rich>
          </tx>
        </title>
        <majorTickMark val="none"/>
        <minorTickMark val="none"/>
        <crossAx val="10"/>
      </valAx>
    </plotArea>
    <legend>
      <legendPos val="r"/>
    </legend>
    <plotVisOnly val="1"/>
    <dispBlanksAs val="gap"/>
  </chart>
</chartSpace>
</file>

<file path=xl/charts/chart6.xml><?xml version="1.0" encoding="utf-8"?>
<chartSpace xmlns:a="http://schemas.openxmlformats.org/drawingml/2006/main" xmlns="http://schemas.openxmlformats.org/drawingml/2006/chart">
  <chart>
    <title>
      <tx>
        <rich>
          <a:bodyPr/>
          <a:p>
            <a:pPr>
              <a:defRPr/>
            </a:pPr>
            <a:r>
              <a:t>Adani Power weekly adj close, Jul-2025 to Jul-2026 — events marked in hidden data sheet col C</a:t>
            </a:r>
          </a:p>
        </rich>
      </tx>
    </title>
    <plotArea>
      <lineChart>
        <grouping val="standard"/>
        <ser>
          <idx val="0"/>
          <order val="0"/>
          <tx>
            <strRef>
              <f>'12b_Announcement_Chart_Data'!B1</f>
            </strRef>
          </tx>
          <spPr>
            <a:ln>
              <a:prstDash val="solid"/>
            </a:ln>
          </spPr>
          <marker>
            <symbol val="none"/>
            <spPr>
              <a:ln>
                <a:prstDash val="solid"/>
              </a:ln>
            </spPr>
          </marker>
          <cat>
            <numRef>
              <f>'12b_Announcement_Chart_Data'!$A$2:$A$55</f>
            </numRef>
          </cat>
          <val>
            <numRef>
              <f>'12b_Announcement_Chart_Data'!$B$2:$B$55</f>
            </numRef>
          </val>
        </ser>
        <axId val="10"/>
        <axId val="100"/>
      </lineChart>
      <catAx>
        <axId val="10"/>
        <scaling>
          <orientation val="minMax"/>
        </scaling>
        <axPos val="l"/>
        <title>
          <tx>
            <rich>
              <a:bodyPr/>
              <a:p>
                <a:pPr>
                  <a:defRPr/>
                </a:pPr>
                <a:r>
                  <a:t>Week ending</a:t>
                </a:r>
              </a:p>
            </rich>
          </tx>
        </title>
        <majorTickMark val="none"/>
        <minorTickMark val="none"/>
        <crossAx val="100"/>
        <lblOffset val="100"/>
      </catAx>
      <valAx>
        <axId val="100"/>
        <scaling>
          <orientation val="minMax"/>
        </scaling>
        <axPos val="l"/>
        <majorGridlines/>
        <title>
          <tx>
            <rich>
              <a:bodyPr/>
              <a:p>
                <a:pPr>
                  <a:defRPr/>
                </a:pPr>
                <a:r>
                  <a:t>₹ per share (split-adjusted)</a:t>
                </a:r>
              </a:p>
            </rich>
          </tx>
        </title>
        <majorTickMark val="none"/>
        <minorTickMark val="none"/>
        <crossAx val="10"/>
      </valAx>
    </plotArea>
    <legend>
      <legendPos val="r"/>
    </legend>
    <plotVisOnly val="1"/>
    <dispBlanksAs val="gap"/>
  </chart>
</chartSpace>
</file>

<file path=xl/comments/comment1.xml><?xml version="1.0" encoding="utf-8"?>
<comments xmlns="http://schemas.openxmlformats.org/spreadsheetml/2006/main">
  <authors>
    <author>Research Agent</author>
  </authors>
  <commentList>
    <comment ref="C7" authorId="0" shapeId="0">
      <text>
        <t>Fill in your Group number and name before submission.</t>
      </text>
    </comment>
  </commentList>
</comments>
</file>

<file path=xl/comments/comment2.xml><?xml version="1.0" encoding="utf-8"?>
<comments xmlns="http://schemas.openxmlformats.org/spreadsheetml/2006/main">
  <authors>
    <author>Research Agent</author>
  </authors>
  <commentList>
    <comment ref="B10" authorId="0" shapeId="0">
      <text>
        <t>Not independently verifiable via web search in this session — pull directly from screener.in / moneycontrol / NSE-BSE filings / the company's Annual Report before final submission.</t>
      </text>
    </comment>
    <comment ref="D10" authorId="0" shapeId="0">
      <text>
        <t>Not independently verifiable via web search in this session — pull directly from screener.in / moneycontrol / NSE-BSE filings / the company's Annual Report before final submission.</t>
      </text>
    </comment>
    <comment ref="D16" authorId="0" shapeId="0">
      <text>
        <t>Not independently verifiable via web search in this session — pull directly from screener.in / moneycontrol / NSE-BSE filings / the company's Annual Report before final submission.</t>
      </text>
    </comment>
    <comment ref="B26" authorId="0" shapeId="0">
      <text>
        <t>Historical FY-end (31 March) closing prices were not retrievable via search in this session. Pull directly from NSE historical data / Yahoo Finance (finance.yahoo.com/quote/&lt;TICKER&gt;.NS/history) — NOTE: Adani Power did a 1:5 stock split effective 22-Sep-2025, so use SPLIT-ADJUSTED prices for a like-for-like series.</t>
      </text>
    </comment>
    <comment ref="C26" authorId="0" shapeId="0">
      <text>
        <t>Historical FY-end (31 March) closing prices were not retrievable via search in this session. Pull directly from NSE historical data / Yahoo Finance (finance.yahoo.com/quote/&lt;TICKER&gt;.NS/history) — NOTE: Adani Power did a 1:5 stock split effective 22-Sep-2025, so use SPLIT-ADJUSTED prices for a like-for-like series.</t>
      </text>
    </comment>
    <comment ref="D26" authorId="0" shapeId="0">
      <text>
        <t>Historical FY-end (31 March) closing prices were not retrievable via search in this session. Pull directly from NSE historical data / Yahoo Finance (finance.yahoo.com/quote/&lt;TICKER&gt;.NS/history) — NOTE: Adani Power did a 1:5 stock split effective 22-Sep-2025, so use SPLIT-ADJUSTED prices for a like-for-like series.</t>
      </text>
    </comment>
    <comment ref="E26" authorId="0" shapeId="0">
      <text>
        <t>Historical FY-end (31 March) closing prices were not retrievable via search in this session. Pull directly from NSE historical data / Yahoo Finance (finance.yahoo.com/quote/&lt;TICKER&gt;.NS/history) — NOTE: Adani Power did a 1:5 stock split effective 22-Sep-2025, so use SPLIT-ADJUSTED prices for a like-for-like series.</t>
      </text>
    </comment>
    <comment ref="F26" authorId="0" shapeId="0">
      <text>
        <t>Historical FY-end (31 March) closing prices were not retrievable via search in this session. Pull directly from NSE historical data / Yahoo Finance (finance.yahoo.com/quote/&lt;TICKER&gt;.NS/history) — NOTE: Adani Power did a 1:5 stock split effective 22-Sep-2025, so use SPLIT-ADJUSTED prices for a like-for-like series.</t>
      </text>
    </comment>
    <comment ref="B27" authorId="0" shapeId="0">
      <text>
        <t>Historical FY-end (31 March) closing prices were not retrievable via search in this session. Pull directly from NSE historical data / Yahoo Finance (finance.yahoo.com/quote/&lt;TICKER&gt;.NS/history) — NOTE: Adani Power did a 1:5 stock split effective 22-Sep-2025, so use SPLIT-ADJUSTED prices for a like-for-like series.</t>
      </text>
    </comment>
    <comment ref="C27" authorId="0" shapeId="0">
      <text>
        <t>Historical FY-end (31 March) closing prices were not retrievable via search in this session. Pull directly from NSE historical data / Yahoo Finance (finance.yahoo.com/quote/&lt;TICKER&gt;.NS/history) — NOTE: Adani Power did a 1:5 stock split effective 22-Sep-2025, so use SPLIT-ADJUSTED prices for a like-for-like series.</t>
      </text>
    </comment>
    <comment ref="D27" authorId="0" shapeId="0">
      <text>
        <t>Historical FY-end (31 March) closing prices were not retrievable via search in this session. Pull directly from NSE historical data / Yahoo Finance (finance.yahoo.com/quote/&lt;TICKER&gt;.NS/history) — NOTE: Adani Power did a 1:5 stock split effective 22-Sep-2025, so use SPLIT-ADJUSTED prices for a like-for-like series.</t>
      </text>
    </comment>
    <comment ref="E27" authorId="0" shapeId="0">
      <text>
        <t>Historical FY-end (31 March) closing prices were not retrievable via search in this session. Pull directly from NSE historical data / Yahoo Finance (finance.yahoo.com/quote/&lt;TICKER&gt;.NS/history) — NOTE: Adani Power did a 1:5 stock split effective 22-Sep-2025, so use SPLIT-ADJUSTED prices for a like-for-like series.</t>
      </text>
    </comment>
    <comment ref="F27" authorId="0" shapeId="0">
      <text>
        <t>Historical FY-end (31 March) closing prices were not retrievable via search in this session. Pull directly from NSE historical data / Yahoo Finance (finance.yahoo.com/quote/&lt;TICKER&gt;.NS/history) — NOTE: Adani Power did a 1:5 stock split effective 22-Sep-2025, so use SPLIT-ADJUSTED prices for a like-for-like series.</t>
      </text>
    </comment>
    <comment ref="B28" authorId="0" shapeId="0">
      <text>
        <t>Historical FY-end (31 March) closing prices were not retrievable via search in this session. Pull directly from NSE historical data / Yahoo Finance (finance.yahoo.com/quote/&lt;TICKER&gt;.NS/history) — NOTE: Adani Power did a 1:5 stock split effective 22-Sep-2025, so use SPLIT-ADJUSTED prices for a like-for-like series.</t>
      </text>
    </comment>
    <comment ref="C28" authorId="0" shapeId="0">
      <text>
        <t>Historical FY-end (31 March) closing prices were not retrievable via search in this session. Pull directly from NSE historical data / Yahoo Finance (finance.yahoo.com/quote/&lt;TICKER&gt;.NS/history) — NOTE: Adani Power did a 1:5 stock split effective 22-Sep-2025, so use SPLIT-ADJUSTED prices for a like-for-like series.</t>
      </text>
    </comment>
    <comment ref="D28" authorId="0" shapeId="0">
      <text>
        <t>Historical FY-end (31 March) closing prices were not retrievable via search in this session. Pull directly from NSE historical data / Yahoo Finance (finance.yahoo.com/quote/&lt;TICKER&gt;.NS/history) — NOTE: Adani Power did a 1:5 stock split effective 22-Sep-2025, so use SPLIT-ADJUSTED prices for a like-for-like series.</t>
      </text>
    </comment>
    <comment ref="E28" authorId="0" shapeId="0">
      <text>
        <t>Historical FY-end (31 March) closing prices were not retrievable via search in this session. Pull directly from NSE historical data / Yahoo Finance (finance.yahoo.com/quote/&lt;TICKER&gt;.NS/history) — NOTE: Adani Power did a 1:5 stock split effective 22-Sep-2025, so use SPLIT-ADJUSTED prices for a like-for-like series.</t>
      </text>
    </comment>
    <comment ref="F28" authorId="0" shapeId="0">
      <text>
        <t>Historical FY-end (31 March) closing prices were not retrievable via search in this session. Pull directly from NSE historical data / Yahoo Finance (finance.yahoo.com/quote/&lt;TICKER&gt;.NS/history) — NOTE: Adani Power did a 1:5 stock split effective 22-Sep-2025, so use SPLIT-ADJUSTED prices for a like-for-like series.</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s>
</file>

<file path=xl/drawings/_rels/drawing2.xml.rels><Relationships xmlns="http://schemas.openxmlformats.org/package/2006/relationships"><Relationship Type="http://schemas.openxmlformats.org/officeDocument/2006/relationships/chart" Target="/xl/charts/chart4.xml" Id="rId1" /></Relationships>
</file>

<file path=xl/drawings/_rels/drawing3.xml.rels><Relationships xmlns="http://schemas.openxmlformats.org/package/2006/relationships"><Relationship Type="http://schemas.openxmlformats.org/officeDocument/2006/relationships/chart" Target="/xl/charts/chart5.xml" Id="rId1" /></Relationships>
</file>

<file path=xl/drawings/_rels/drawing4.xml.rels><Relationships xmlns="http://schemas.openxmlformats.org/package/2006/relationships"><Relationship Type="http://schemas.openxmlformats.org/officeDocument/2006/relationships/chart" Target="/xl/charts/chart6.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44</row>
      <rowOff>0</rowOff>
    </from>
    <ext cx="8640000" cy="4320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69</row>
      <rowOff>0</rowOff>
    </from>
    <ext cx="8640000" cy="4320000"/>
    <graphicFrame>
      <nvGraphicFramePr>
        <cNvPr id="2" name="Chart 2"/>
        <cNvGraphicFramePr/>
      </nvGraphicFramePr>
      <xfrm/>
      <a:graphic>
        <a:graphicData uri="http://schemas.openxmlformats.org/drawingml/2006/chart">
          <c:chart r:id="rId2"/>
        </a:graphicData>
      </a:graphic>
    </graphicFrame>
    <clientData/>
  </oneCellAnchor>
  <oneCellAnchor>
    <from>
      <col>0</col>
      <colOff>0</colOff>
      <row>94</row>
      <rowOff>0</rowOff>
    </from>
    <ext cx="8640000" cy="4320000"/>
    <graphicFrame>
      <nvGraphicFramePr>
        <cNvPr id="3" name="Chart 3"/>
        <cNvGraphicFramePr/>
      </nvGraphicFramePr>
      <xfrm/>
      <a:graphic>
        <a:graphicData uri="http://schemas.openxmlformats.org/drawingml/2006/chart">
          <c:chart r:id="rId3"/>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59</row>
      <rowOff>0</rowOff>
    </from>
    <ext cx="936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31</row>
      <rowOff>0</rowOff>
    </from>
    <ext cx="10080000" cy="504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27</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drawing" Target="/xl/drawings/drawing1.xml" Id="rId1"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9.xml.rels><Relationships xmlns="http://schemas.openxmlformats.org/package/2006/relationships"><Relationship Type="http://schemas.openxmlformats.org/officeDocument/2006/relationships/drawing" Target="/xl/drawings/drawing2.xml" Id="rId1" /></Relationships>
</file>

<file path=xl/worksheets/_rels/sheet15.xml.rels><Relationships xmlns="http://schemas.openxmlformats.org/package/2006/relationships"><Relationship Type="http://schemas.openxmlformats.org/officeDocument/2006/relationships/drawing" Target="/xl/drawings/drawing3.xml" Id="rId1" /></Relationships>
</file>

<file path=xl/worksheets/_rels/sheet17.xml.rels><Relationships xmlns="http://schemas.openxmlformats.org/package/2006/relationships"><Relationship Type="http://schemas.openxmlformats.org/officeDocument/2006/relationships/drawing" Target="/xl/drawings/drawing4.xml" Id="rId1" /></Relationships>
</file>

<file path=xl/worksheets/sheet1.xml><?xml version="1.0" encoding="utf-8"?>
<worksheet xmlns="http://schemas.openxmlformats.org/spreadsheetml/2006/main">
  <sheetPr>
    <outlinePr summaryBelow="1" summaryRight="1"/>
    <pageSetUpPr/>
  </sheetPr>
  <dimension ref="B2:D37"/>
  <sheetViews>
    <sheetView workbookViewId="0">
      <selection activeCell="A1" sqref="A1"/>
    </sheetView>
  </sheetViews>
  <sheetFormatPr baseColWidth="8" defaultRowHeight="15"/>
  <cols>
    <col width="4" customWidth="1" min="1" max="1"/>
    <col width="40" customWidth="1" min="2" max="2"/>
    <col width="60" customWidth="1" min="3" max="3"/>
    <col width="20" customWidth="1" min="4" max="4"/>
  </cols>
  <sheetData>
    <row r="2">
      <c r="B2" s="1" t="inlineStr">
        <is>
          <t>FADM Group Assignment — Part 1</t>
        </is>
      </c>
    </row>
    <row r="4">
      <c r="B4" s="2" t="inlineStr">
        <is>
          <t>Target Company:</t>
        </is>
      </c>
      <c r="C4" t="inlineStr">
        <is>
          <t>Adani Power Ltd (NSE: ADANIPOWER, BSE: 533096)</t>
        </is>
      </c>
    </row>
    <row r="5">
      <c r="B5" s="2" t="inlineStr">
        <is>
          <t>Competitors:</t>
        </is>
      </c>
      <c r="C5" t="inlineStr">
        <is>
          <t>Tata Power Company Ltd (NSE: TATAPOWER)  |  Torrent Power Ltd (NSE: TORNTPOWER)</t>
        </is>
      </c>
    </row>
    <row r="6">
      <c r="B6" s="2" t="inlineStr">
        <is>
          <t>Sector:</t>
        </is>
      </c>
      <c r="C6" t="inlineStr">
        <is>
          <t>Power Generation, Transmission &amp; Distribution (India)</t>
        </is>
      </c>
    </row>
    <row r="7">
      <c r="B7" s="2" t="inlineStr">
        <is>
          <t>Group / Student:</t>
        </is>
      </c>
      <c r="C7" s="3" t="inlineStr">
        <is>
          <t>[FILL IN: Group-X / Student Name]</t>
        </is>
      </c>
    </row>
    <row r="8">
      <c r="B8" s="2" t="inlineStr">
        <is>
          <t>Date prepared:</t>
        </is>
      </c>
      <c r="C8" t="inlineStr">
        <is>
          <t>15 July 2026</t>
        </is>
      </c>
    </row>
    <row r="10">
      <c r="B10" s="4" t="inlineStr">
        <is>
          <t>Contents</t>
        </is>
      </c>
    </row>
    <row r="11">
      <c r="B11" t="inlineStr">
        <is>
          <t>FS Extracts — financial-statement trail (course requirement)</t>
        </is>
      </c>
    </row>
    <row r="12">
      <c r="B12" t="inlineStr">
        <is>
          <t>1. Business Overview &amp; Market</t>
        </is>
      </c>
    </row>
    <row r="13">
      <c r="B13" t="inlineStr">
        <is>
          <t>2. Sales / Asset / Profit / Market-Price Growth (5-yr) — Comparison &amp; Chart</t>
        </is>
      </c>
    </row>
    <row r="14">
      <c r="B14" t="inlineStr">
        <is>
          <t>3. Sales per Rupee of Asset &amp; Sales per Employee</t>
        </is>
      </c>
    </row>
    <row r="15">
      <c r="B15" t="inlineStr">
        <is>
          <t>4. Business Acquisitions &amp; Post-Acquisition Impact</t>
        </is>
      </c>
    </row>
    <row r="16">
      <c r="B16" t="inlineStr">
        <is>
          <t>5. Shareholding Pattern (Promoters, FII, DII/MF, Pledge, Free Float)</t>
        </is>
      </c>
    </row>
    <row r="17">
      <c r="B17" t="inlineStr">
        <is>
          <t>6. Reportable Business Segments — 5-yr Trend &amp; Comparison</t>
        </is>
      </c>
    </row>
    <row r="18">
      <c r="B18" t="inlineStr">
        <is>
          <t>7. Group Structure — Subsidiaries</t>
        </is>
      </c>
    </row>
    <row r="19">
      <c r="B19" t="inlineStr">
        <is>
          <t>8. Associates &amp; Joint Ventures</t>
        </is>
      </c>
    </row>
    <row r="20">
      <c r="B20" t="inlineStr">
        <is>
          <t>9. Other Investments (ex subs/associates/JVs) up to FY23</t>
        </is>
      </c>
    </row>
    <row r="21">
      <c r="B21" t="inlineStr">
        <is>
          <t>10. Major Changes in Financing (5-yr)</t>
        </is>
      </c>
    </row>
    <row r="22">
      <c r="B22" t="inlineStr">
        <is>
          <t>11. Share Price Return vs Sectoral &amp; Market Index (weekly, 1-yr) &amp; Volatility</t>
        </is>
      </c>
    </row>
    <row r="23">
      <c r="B23" t="inlineStr">
        <is>
          <t>12. Major Announcements (last 1 year) &amp; Price Reaction — Chart</t>
        </is>
      </c>
    </row>
    <row r="24">
      <c r="B24" t="inlineStr">
        <is>
          <t>13. Sources &amp; Data Gaps (READ FIRST)</t>
        </is>
      </c>
    </row>
    <row r="25">
      <c r="B25" s="5" t="inlineStr">
        <is>
          <t>IMPORTANT — READ BEFORE SUBMITTING</t>
        </is>
      </c>
    </row>
    <row r="26">
      <c r="B26" s="6" t="inlineStr">
        <is>
          <t>This workbook was assembled from live web research (news wires, brokerage notes, exchange filings, company press releases) because direct scripted access to screener.in, moneycontrol, NSE/BSE historical-data pages and the companies' own Annual Report PDFs was blocked in this environment (HTTP 403 on automated fetch). Cells shaded YELLOW with a red comment marker are figures that could not be independently verified and MUST be re-checked / filled in from primary sources (Annual Reports, screener.in, BSE/NSE filings) before you submit. See the 'Sources_and_Gaps' sheet for a full list.</t>
        </is>
      </c>
    </row>
    <row r="27"/>
    <row r="28"/>
    <row r="29"/>
    <row r="30"/>
    <row r="31"/>
    <row r="32"/>
    <row r="33"/>
    <row r="35">
      <c r="B35" s="24" t="inlineStr">
        <is>
          <t>Detailed per-company Consolidated Financial Statements (6 sheets):</t>
        </is>
      </c>
    </row>
    <row r="36">
      <c r="B36" t="inlineStr">
        <is>
          <t>Adani_BS_Consolidated, Adani_PL_Consolidated, Tata_BS_Consolidated, Tata_PL_Consolidated, Torrent_BS_Consolidated, Torrent_PL_Consolidated</t>
        </is>
      </c>
    </row>
    <row r="37">
      <c r="B37" s="12" t="inlineStr">
        <is>
          <t>(replaces earlier draft sheets that mixed in mislabeled standalone Adani Power data)</t>
        </is>
      </c>
    </row>
  </sheetData>
  <mergeCells count="1">
    <mergeCell ref="B26:D33"/>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F34"/>
  <sheetViews>
    <sheetView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ht="24" customHeight="1">
      <c r="A1" s="7" t="inlineStr">
        <is>
          <t>Financial Statement Extracts (Consolidated), FY22-FY26</t>
        </is>
      </c>
    </row>
    <row r="2">
      <c r="A2" s="8" t="inlineStr">
        <is>
          <t>Key lines from each company's audited Consolidated Financial Statements, extracted from the Annual Report PDFs stored in this repository. These are the 'trail' for every figure used in Sheets 2, 3 and 6.</t>
        </is>
      </c>
    </row>
    <row r="3" ht="6" customHeight="1"/>
    <row r="5">
      <c r="A5" s="9" t="inlineStr">
        <is>
          <t>ADANI POWER LIMITED</t>
        </is>
      </c>
    </row>
    <row r="6">
      <c r="A6" s="10" t="inlineStr">
        <is>
          <t>Line item (₹ crore, consolidated)</t>
        </is>
      </c>
      <c r="B6" s="10" t="inlineStr">
        <is>
          <t>FY22</t>
        </is>
      </c>
      <c r="C6" s="10" t="inlineStr">
        <is>
          <t>FY23</t>
        </is>
      </c>
      <c r="D6" s="10" t="inlineStr">
        <is>
          <t>FY24</t>
        </is>
      </c>
      <c r="E6" s="10" t="inlineStr">
        <is>
          <t>FY25</t>
        </is>
      </c>
      <c r="F6" s="10" t="inlineStr">
        <is>
          <t>FY26</t>
        </is>
      </c>
    </row>
    <row r="7">
      <c r="A7" s="11" t="inlineStr">
        <is>
          <t>Revenue from Operations</t>
        </is>
      </c>
      <c r="B7" s="11" t="n">
        <v>27711.18</v>
      </c>
      <c r="C7" s="11" t="n">
        <v>38773.3</v>
      </c>
      <c r="D7" s="11" t="n">
        <v>50351.25</v>
      </c>
      <c r="E7" s="11" t="n">
        <v>56203.09</v>
      </c>
      <c r="F7" s="11" t="n">
        <v>54240.52</v>
      </c>
    </row>
    <row r="8">
      <c r="A8" s="11" t="inlineStr">
        <is>
          <t>Total Income</t>
        </is>
      </c>
      <c r="B8" s="11" t="n">
        <v>31686.47</v>
      </c>
      <c r="C8" s="11" t="n">
        <v>43040.52</v>
      </c>
      <c r="D8" s="11" t="n">
        <v>60281.48</v>
      </c>
      <c r="E8" s="11" t="n">
        <v>58905.83</v>
      </c>
      <c r="F8" s="11" t="n">
        <v>57865.28</v>
      </c>
    </row>
    <row r="9">
      <c r="A9" s="11" t="inlineStr">
        <is>
          <t>Profit Before Tax (before deferred tax adj.)</t>
        </is>
      </c>
      <c r="B9" s="11" t="n">
        <v>6577.13</v>
      </c>
      <c r="C9" s="11" t="n">
        <v>7674.7</v>
      </c>
      <c r="D9" s="11" t="n">
        <v>20791.51</v>
      </c>
      <c r="E9" s="11" t="n">
        <v>16359.51</v>
      </c>
      <c r="F9" s="11" t="n">
        <v>15499.51</v>
      </c>
    </row>
    <row r="10">
      <c r="A10" s="11" t="inlineStr">
        <is>
          <t>Total Tax Expense / (Credit)</t>
        </is>
      </c>
      <c r="B10" s="11" t="n">
        <v>1744.8</v>
      </c>
      <c r="C10" s="11" t="n">
        <v>-3267.37</v>
      </c>
      <c r="D10" s="11" t="n">
        <v>-37.28</v>
      </c>
      <c r="E10" s="11" t="n">
        <v>3609.9</v>
      </c>
      <c r="F10" s="11" t="n">
        <v>2528.43</v>
      </c>
    </row>
    <row r="11">
      <c r="A11" s="11" t="inlineStr">
        <is>
          <t>Profit for the Year (PAT)</t>
        </is>
      </c>
      <c r="B11" s="11" t="n">
        <v>4911.58</v>
      </c>
      <c r="C11" s="11" t="n">
        <v>10726.64</v>
      </c>
      <c r="D11" s="11" t="n">
        <v>20828.79</v>
      </c>
      <c r="E11" s="11" t="n">
        <v>12749.61</v>
      </c>
      <c r="F11" s="11" t="n">
        <v>12971.08</v>
      </c>
    </row>
    <row r="12">
      <c r="A12" s="11" t="inlineStr">
        <is>
          <t>Total Assets</t>
        </is>
      </c>
      <c r="B12" s="11" t="n">
        <v>81981.02</v>
      </c>
      <c r="C12" s="11" t="n">
        <v>85821.27</v>
      </c>
      <c r="D12" s="11" t="n">
        <v>92324.77</v>
      </c>
      <c r="E12" s="11" t="n">
        <v>112917.57</v>
      </c>
      <c r="F12" s="11" t="n">
        <v>142279.92</v>
      </c>
    </row>
    <row r="13" ht="30" customHeight="1">
      <c r="A13" s="12" t="inlineStr">
        <is>
          <t>Source PDFs in repo: AR_22088_ADANIPOWER_2022_2023 (FY22 &amp; FY23), AR_24072_ADANIPOWER_2023_2024 (FY24), ADANIPOWER-2025 / AR_26476 (FY25), AR_29298_ADANIPOWER_2025_2026 (FY26) — Consolidated Statement of P&amp;L and Balance Sheet.</t>
        </is>
      </c>
    </row>
    <row r="15">
      <c r="A15" s="9" t="inlineStr">
        <is>
          <t>THE TATA POWER COMPANY LIMITED</t>
        </is>
      </c>
    </row>
    <row r="16">
      <c r="A16" s="10" t="inlineStr">
        <is>
          <t>Line item (₹ crore, consolidated)</t>
        </is>
      </c>
      <c r="B16" s="10" t="inlineStr">
        <is>
          <t>FY22</t>
        </is>
      </c>
      <c r="C16" s="10" t="inlineStr">
        <is>
          <t>FY23</t>
        </is>
      </c>
      <c r="D16" s="10" t="inlineStr">
        <is>
          <t>FY24</t>
        </is>
      </c>
      <c r="E16" s="10" t="inlineStr">
        <is>
          <t>FY25</t>
        </is>
      </c>
      <c r="F16" s="10" t="inlineStr">
        <is>
          <t>FY26</t>
        </is>
      </c>
    </row>
    <row r="17">
      <c r="A17" s="11" t="inlineStr">
        <is>
          <t>Revenue from Operations (as reported P&amp;L)</t>
        </is>
      </c>
      <c r="B17" s="11" t="n">
        <v>42815.67</v>
      </c>
      <c r="C17" s="11" t="n">
        <v>55109.08</v>
      </c>
      <c r="D17" s="11" t="inlineStr">
        <is>
          <t>N/A</t>
        </is>
      </c>
      <c r="E17" s="11" t="n">
        <v>65478.24</v>
      </c>
      <c r="F17" s="11" t="inlineStr">
        <is>
          <t>N/A</t>
        </is>
      </c>
    </row>
    <row r="18">
      <c r="A18" s="11" t="inlineStr">
        <is>
          <t>Total Income (highlights basis, incl. regulatory)</t>
        </is>
      </c>
      <c r="B18" s="11" t="n">
        <v>42576</v>
      </c>
      <c r="C18" s="11" t="n">
        <v>56033</v>
      </c>
      <c r="D18" s="11" t="n">
        <v>63272.32</v>
      </c>
      <c r="E18" s="11" t="n">
        <v>66992.17</v>
      </c>
      <c r="F18" s="11" t="n">
        <v>64171.66</v>
      </c>
    </row>
    <row r="19">
      <c r="A19" s="11" t="inlineStr">
        <is>
          <t>Profit for the Year (PAT, reported)</t>
        </is>
      </c>
      <c r="B19" s="11" t="n">
        <v>2156</v>
      </c>
      <c r="C19" s="11" t="n">
        <v>3810</v>
      </c>
      <c r="D19" s="11" t="n">
        <v>4280</v>
      </c>
      <c r="E19" s="11" t="n">
        <v>4775</v>
      </c>
      <c r="F19" s="11" t="n">
        <v>5118</v>
      </c>
    </row>
    <row r="20">
      <c r="A20" s="11" t="inlineStr">
        <is>
          <t>Total Assets</t>
        </is>
      </c>
      <c r="B20" s="11" t="n">
        <v>112884.59</v>
      </c>
      <c r="C20" s="11" t="n">
        <v>128349.04</v>
      </c>
      <c r="D20" s="11" t="n">
        <v>139553.49</v>
      </c>
      <c r="E20" s="11" t="n">
        <v>156711.29</v>
      </c>
      <c r="F20" s="11" t="n">
        <v>175171.78</v>
      </c>
    </row>
    <row r="21" ht="30" customHeight="1">
      <c r="A21" s="12" t="inlineStr">
        <is>
          <t>Source PDFs in repo: AR_20052_TATAPOWER_2021_2022 (FY22), AR_2022_2023 (FY23), AR_24164_TATAPOWER_2023_2024 (FY24), AR_26536 (FY25), AR_29380 (FY26) — Consolidated Statement of P&amp;L and Balance Sheet.</t>
        </is>
      </c>
    </row>
    <row r="23">
      <c r="A23" s="9" t="inlineStr">
        <is>
          <t>TORRENT POWER LIMITED</t>
        </is>
      </c>
    </row>
    <row r="24">
      <c r="A24" s="10" t="inlineStr">
        <is>
          <t>Line item (₹ crore, consolidated)</t>
        </is>
      </c>
      <c r="B24" s="10" t="inlineStr">
        <is>
          <t>FY22</t>
        </is>
      </c>
      <c r="C24" s="10" t="inlineStr">
        <is>
          <t>FY23</t>
        </is>
      </c>
      <c r="D24" s="10" t="inlineStr">
        <is>
          <t>FY24</t>
        </is>
      </c>
      <c r="E24" s="10" t="inlineStr">
        <is>
          <t>FY25</t>
        </is>
      </c>
      <c r="F24" s="10" t="inlineStr">
        <is>
          <t>FY26</t>
        </is>
      </c>
    </row>
    <row r="25">
      <c r="A25" s="11" t="inlineStr">
        <is>
          <t>Total Income</t>
        </is>
      </c>
      <c r="B25" s="11" t="n">
        <v>14492.65</v>
      </c>
      <c r="C25" s="11" t="n">
        <v>26075.97</v>
      </c>
      <c r="D25" s="11" t="n">
        <v>27527.53</v>
      </c>
      <c r="E25" s="11" t="n">
        <v>29652.47</v>
      </c>
      <c r="F25" s="11" t="n">
        <v>29288.92</v>
      </c>
    </row>
    <row r="26">
      <c r="A26" s="11" t="inlineStr">
        <is>
          <t>Profit for the Year (PAT)</t>
        </is>
      </c>
      <c r="B26" s="11" t="n">
        <v>458.7</v>
      </c>
      <c r="C26" s="11" t="n">
        <v>2164.67</v>
      </c>
      <c r="D26" s="11" t="n">
        <v>1896</v>
      </c>
      <c r="E26" s="11" t="n">
        <v>3058.61</v>
      </c>
      <c r="F26" s="11" t="n">
        <v>2469.36</v>
      </c>
    </row>
    <row r="27">
      <c r="A27" s="11" t="inlineStr">
        <is>
          <t>Total Assets</t>
        </is>
      </c>
      <c r="B27" s="11" t="n">
        <v>25022.7</v>
      </c>
      <c r="C27" s="11" t="n">
        <v>29910.18</v>
      </c>
      <c r="D27" s="11" t="n">
        <v>33392.48</v>
      </c>
      <c r="E27" s="11" t="n">
        <v>36573.38</v>
      </c>
      <c r="F27" s="11" t="n">
        <v>45193.28</v>
      </c>
    </row>
    <row r="28" ht="30" customHeight="1">
      <c r="A28" s="12" t="inlineStr">
        <is>
          <t>Source PDFs in repo: AR_20392_TORNTPOWER_2021_2022 (FY22), AR_22356 (FY23), AR_24323 (FY24), AR_26840 (FY25), AR_29704 (FY26) — Consolidated Statement of P&amp;L and Balance Sheet.</t>
        </is>
      </c>
    </row>
    <row r="30">
      <c r="A30" s="13" t="inlineStr">
        <is>
          <t>Trail note</t>
        </is>
      </c>
    </row>
    <row r="31" ht="80" customHeight="1">
      <c r="A31" s="14" t="inlineStr">
        <is>
          <t>Every Revenue/Total Income, PAT and Total Assets figure in Sheet 2 equals the corresponding line above; Sheet 3 ratios are formulas over Sheet 2 cells; Sheet 6 segment figures come from the Segment Reporting (Ind AS 108) note of the same consolidated financial statements. The full audited financial statements are contained in the Annual Report PDFs submitted alongside this workbook in the same repository/folder, satisfying the course requirement that the file contain the financial statements with calculation trails.</t>
        </is>
      </c>
    </row>
    <row r="32"/>
    <row r="33"/>
    <row r="34"/>
  </sheetData>
  <mergeCells count="6">
    <mergeCell ref="A2:F2"/>
    <mergeCell ref="A28:F28"/>
    <mergeCell ref="A13:F13"/>
    <mergeCell ref="A1:F1"/>
    <mergeCell ref="A31:F34"/>
    <mergeCell ref="A21:F2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
  <sheetViews>
    <sheetView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45" customWidth="1" min="2" max="2"/>
    <col width="45" customWidth="1" min="3" max="3"/>
    <col width="45" customWidth="1" min="4" max="4"/>
  </cols>
  <sheetData>
    <row r="1" ht="24" customHeight="1">
      <c r="A1" s="7" t="inlineStr">
        <is>
          <t>1. Business Overview &amp; Market</t>
        </is>
      </c>
    </row>
    <row r="2">
      <c r="A2" s="8" t="inlineStr">
        <is>
          <t>Products/services and market in which each company operates</t>
        </is>
      </c>
    </row>
    <row r="3" ht="6" customHeight="1"/>
    <row r="5">
      <c r="A5" s="10" t="inlineStr"/>
      <c r="B5" s="10" t="inlineStr">
        <is>
          <t>Adani Power Ltd (Target)</t>
        </is>
      </c>
      <c r="C5" s="10" t="inlineStr">
        <is>
          <t>Tata Power Company Ltd (Competitor)</t>
        </is>
      </c>
      <c r="D5" s="10" t="inlineStr">
        <is>
          <t>Torrent Power Ltd (Competitor)</t>
        </is>
      </c>
    </row>
    <row r="6" ht="60" customHeight="1">
      <c r="A6" s="15" t="inlineStr">
        <is>
          <t>Positioning</t>
        </is>
      </c>
      <c r="B6" s="16" t="inlineStr">
        <is>
          <t>India's largest PRIVATE thermal (base-load) power producer; part of the Adani Group.</t>
        </is>
      </c>
      <c r="C6" s="16" t="inlineStr">
        <is>
          <t>India's largest vertically integrated power company (generation + transmission + distribution).</t>
        </is>
      </c>
      <c r="D6" s="16" t="inlineStr">
        <is>
          <t>Leading integrated power utility; part of Torrent Group (also pharma &amp; city-gas distribution).</t>
        </is>
      </c>
    </row>
    <row r="7" ht="60" customHeight="1">
      <c r="A7" s="15" t="inlineStr">
        <is>
          <t>Core products/services</t>
        </is>
      </c>
      <c r="B7" s="16" t="inlineStr">
        <is>
          <t>Thermal power generation (subcritical to ultra-supercritical); sold via long-term &amp; short-term PPAs and merchant sales on power exchanges.</t>
        </is>
      </c>
      <c r="C7" s="16" t="inlineStr">
        <is>
          <t>Generation (thermal+hydro), Transmission, Distribution (regulated discoms); shifting toward 100% renewable generation; new-age products (solar rooftop, EV charging).</t>
        </is>
      </c>
      <c r="D7" s="16" t="inlineStr">
        <is>
          <t>Generation (gas, coal, solar, wind), Transmission (~1,340 ckm HV lines), Distribution (licensed + franchise).</t>
        </is>
      </c>
    </row>
    <row r="8" ht="60" customHeight="1">
      <c r="A8" s="15" t="inlineStr">
        <is>
          <t>Market / geographic footprint</t>
        </is>
      </c>
      <c r="B8" s="16" t="inlineStr">
        <is>
          <t>12 plants across 8 states (Gujarat, Maharashtra, Karnataka, Rajasthan, Chhattisgarh, MP, Jharkhand, Tamil Nadu); ~7.3% of India's coal-based generation capacity; exports power to Bangladesh via Godda plant.</t>
        </is>
      </c>
      <c r="C8" s="16" t="inlineStr">
        <is>
          <t>Pan-India: Mumbai &amp; Delhi discoms, 4 Odisha discoms, Ajmer discom; ~12.6 million distribution customers; renewable assets nationwide; expanding into Bhutan hydro &amp; nuclear.</t>
        </is>
      </c>
      <c r="D8" s="16" t="inlineStr">
        <is>
          <t>Gujarat (Ahmedabad, Surat, Dahej), Dadra &amp; Nagar Haveli/Daman &amp; Diu, franchise areas Agra (UP) &amp; Bhiwandi (Maharashtra); ~4.3 million customers p.a.</t>
        </is>
      </c>
    </row>
    <row r="9" ht="60" customHeight="1">
      <c r="A9" s="15" t="inlineStr">
        <is>
          <t>Installed capacity (approx., 2025-26)</t>
        </is>
      </c>
      <c r="B9" s="16" t="inlineStr">
        <is>
          <t>~18,150 MW (post Vidarbha acquisition, Jul 2025), all thermal.</t>
        </is>
      </c>
      <c r="C9" s="16" t="inlineStr">
        <is>
          <t>~11.6 GW renewable identified/under TPREL alone + thermal (Mundra 4 GW+) + hydro + distribution licenses covering 12.6mn customers.</t>
        </is>
      </c>
      <c r="D9" s="16" t="inlineStr">
        <is>
          <t>~2,730 MW gas + 362 MW coal + ~663 MW solar + ~1,220 MW wind (as of FY23/Jan-24 disclosures); Nabha Power (2x700MW coal) added June 2026.</t>
        </is>
      </c>
    </row>
    <row r="10" ht="60" customHeight="1">
      <c r="A10" s="15" t="inlineStr">
        <is>
          <t>Strategic direction</t>
        </is>
      </c>
      <c r="B10" s="16" t="inlineStr">
        <is>
          <t>Capacity expansion via IBC/CIRP acquisitions (Mahan, Korba, Moxie, Vidarbha, JPVL); new Assam UMPP (3,200 MW, ~₹48,000 cr); entry into nuclear power (Adani Atomic Energy Ltd, Feb 2026); Bhutan hydro JV with Druk Green.</t>
        </is>
      </c>
      <c r="C10" s="16" t="inlineStr">
        <is>
          <t>Targeting ₹1 lakh crore revenue &amp; ₹10,000 cr PAT by 2030; nuclear, battery storage, solar manufacturing (Odisha); pumped hydro storage (Bhivpuri, Shirawta); Bhutan hydro portfolio (5,033 MW identified).</t>
        </is>
      </c>
      <c r="D10" s="16" t="inlineStr">
        <is>
          <t>₹80,000 crore 5-yr capex plan: +3 GW thermal (incl. Nabha), ~3.96 GW renewables, ~3 GW pumped storage; exploring Green Hydrogen/Ammonia.</t>
        </is>
      </c>
    </row>
  </sheetData>
  <mergeCells count="2">
    <mergeCell ref="A1:D1"/>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5"/>
  <sheetViews>
    <sheetView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1" customWidth="1" min="2" max="2"/>
    <col width="11" customWidth="1" min="3" max="3"/>
    <col width="11" customWidth="1" min="4" max="4"/>
    <col width="11" customWidth="1" min="5" max="5"/>
    <col width="11" customWidth="1" min="6" max="6"/>
    <col width="12" customWidth="1" min="7" max="7"/>
    <col width="12" customWidth="1" min="8" max="8"/>
    <col width="12" customWidth="1" min="9" max="9"/>
    <col width="13" customWidth="1" min="10" max="10"/>
  </cols>
  <sheetData>
    <row r="1" ht="24" customHeight="1">
      <c r="A1" s="7" t="inlineStr">
        <is>
          <t>2. Growth Comparison: Sales, Assets, Profit, Market Price (FY22-FY26, last 5 years)</t>
        </is>
      </c>
    </row>
    <row r="2">
      <c r="A2" s="8" t="inlineStr">
        <is>
          <t>₹ crore, Consolidated. All columns VERIFIED from the audited Annual Reports in the repo. Yellow = still needs data.</t>
        </is>
      </c>
    </row>
    <row r="3" ht="6" customHeight="1"/>
    <row r="5">
      <c r="A5" s="10" t="inlineStr">
        <is>
          <t>Company / Metric</t>
        </is>
      </c>
      <c r="B5" s="10" t="inlineStr">
        <is>
          <t>FY22</t>
        </is>
      </c>
      <c r="C5" s="10" t="inlineStr">
        <is>
          <t>FY23</t>
        </is>
      </c>
      <c r="D5" s="10" t="inlineStr">
        <is>
          <t>FY24</t>
        </is>
      </c>
      <c r="E5" s="10" t="inlineStr">
        <is>
          <t>FY25</t>
        </is>
      </c>
      <c r="F5" s="10" t="inlineStr">
        <is>
          <t>FY26</t>
        </is>
      </c>
      <c r="G5" s="10" t="inlineStr">
        <is>
          <t>4-yr CAGR</t>
        </is>
      </c>
    </row>
    <row r="7">
      <c r="A7" s="2" t="inlineStr">
        <is>
          <t>Adani Power — Revenue / Total Income (₹ cr)</t>
        </is>
      </c>
      <c r="B7" t="n">
        <v>31686.47</v>
      </c>
      <c r="C7" t="n">
        <v>43040.52</v>
      </c>
      <c r="D7" t="n">
        <v>60281.48</v>
      </c>
      <c r="E7" t="n">
        <v>58905.83</v>
      </c>
      <c r="F7" t="n">
        <v>57865.28</v>
      </c>
      <c r="G7" s="17">
        <f>IFERROR(IF(OR(B7="N/A",F7="N/A"),"N/A",(F7/B7)^(1/4)-1),"N/A")</f>
        <v/>
      </c>
    </row>
    <row r="8">
      <c r="A8" s="2" t="inlineStr">
        <is>
          <t>Adani Power — Net Profit / PAT (₹ cr)</t>
        </is>
      </c>
      <c r="B8" t="n">
        <v>4911.58</v>
      </c>
      <c r="C8" t="n">
        <v>10726.64</v>
      </c>
      <c r="D8" t="n">
        <v>20828.79</v>
      </c>
      <c r="E8" t="n">
        <v>12749.61</v>
      </c>
      <c r="F8" t="n">
        <v>12971.08</v>
      </c>
      <c r="G8" s="17">
        <f>IFERROR(IF(OR(B8="N/A",F8="N/A"),"N/A",(F8/B8)^(1/4)-1),"N/A")</f>
        <v/>
      </c>
    </row>
    <row r="9">
      <c r="A9" s="2" t="inlineStr">
        <is>
          <t>Adani Power — Total Assets (₹ cr)</t>
        </is>
      </c>
      <c r="B9" t="n">
        <v>81981.02</v>
      </c>
      <c r="C9" t="n">
        <v>85821.27</v>
      </c>
      <c r="D9" t="n">
        <v>92324.77</v>
      </c>
      <c r="E9" t="n">
        <v>112917.57</v>
      </c>
      <c r="F9" t="n">
        <v>142279.92</v>
      </c>
      <c r="G9" s="17">
        <f>IFERROR(IF(OR(B9="N/A",F9="N/A"),"N/A",(F9/B9)^(1/4)-1),"N/A")</f>
        <v/>
      </c>
    </row>
    <row r="10">
      <c r="A10" s="2" t="inlineStr">
        <is>
          <t>Adani Power — Employees (#)</t>
        </is>
      </c>
      <c r="B10" s="3" t="inlineStr">
        <is>
          <t>N/A</t>
        </is>
      </c>
      <c r="C10" t="n">
        <v>2805</v>
      </c>
      <c r="D10" s="3" t="inlineStr">
        <is>
          <t>N/A</t>
        </is>
      </c>
      <c r="E10" t="n">
        <v>4210</v>
      </c>
      <c r="F10" t="n">
        <v>3967</v>
      </c>
      <c r="G10" s="17">
        <f>IFERROR(IF(OR(B10="N/A",F10="N/A"),"N/A",(F10/B10)^(1/4)-1),"N/A")</f>
        <v/>
      </c>
    </row>
    <row r="11" ht="40" customHeight="1">
      <c r="A11" s="12" t="inlineStr">
        <is>
          <t>All figures VERIFIED from Adani Power's audited Integrated Annual Reports (consolidated). Employees = STANDALONE permanent employees on Company rolls; FY22 and FY24 counts not disclosed in the reports available (the FY21-22 Annual Report is not in the repo). FY24 PAT (₹20,829cr) was inflated by one-off other income (₹9,781cr incl. prior-period revenue recognition) vs FY25's normalised ₹12,750cr.</t>
        </is>
      </c>
    </row>
    <row r="13">
      <c r="A13" s="2" t="inlineStr">
        <is>
          <t>Tata Power — Revenue / Total Income (₹ cr)</t>
        </is>
      </c>
      <c r="B13" t="n">
        <v>42576</v>
      </c>
      <c r="C13" t="n">
        <v>56033</v>
      </c>
      <c r="D13" t="n">
        <v>63272.32</v>
      </c>
      <c r="E13" t="n">
        <v>66992.17</v>
      </c>
      <c r="F13" t="n">
        <v>64171.66</v>
      </c>
      <c r="G13" s="17">
        <f>IFERROR(IF(OR(B13="N/A",F13="N/A"),"N/A",(F13/B13)^(1/4)-1),"N/A")</f>
        <v/>
      </c>
    </row>
    <row r="14">
      <c r="A14" s="2" t="inlineStr">
        <is>
          <t>Tata Power — Net Profit / PAT (₹ cr)</t>
        </is>
      </c>
      <c r="B14" t="n">
        <v>2156</v>
      </c>
      <c r="C14" t="n">
        <v>3810</v>
      </c>
      <c r="D14" t="n">
        <v>4280</v>
      </c>
      <c r="E14" t="n">
        <v>4775</v>
      </c>
      <c r="F14" t="n">
        <v>5118</v>
      </c>
      <c r="G14" s="17">
        <f>IFERROR(IF(OR(B14="N/A",F14="N/A"),"N/A",(F14/B14)^(1/4)-1),"N/A")</f>
        <v/>
      </c>
    </row>
    <row r="15">
      <c r="A15" s="2" t="inlineStr">
        <is>
          <t>Tata Power — Total Assets (₹ cr)</t>
        </is>
      </c>
      <c r="B15" t="n">
        <v>112884.59</v>
      </c>
      <c r="C15" t="n">
        <v>128349.04</v>
      </c>
      <c r="D15" t="n">
        <v>139553.49</v>
      </c>
      <c r="E15" t="n">
        <v>156711.29</v>
      </c>
      <c r="F15" t="n">
        <v>175171.78</v>
      </c>
      <c r="G15" s="17">
        <f>IFERROR(IF(OR(B15="N/A",F15="N/A"),"N/A",(F15/B15)^(1/4)-1),"N/A")</f>
        <v/>
      </c>
    </row>
    <row r="16">
      <c r="A16" s="2" t="inlineStr">
        <is>
          <t>Tata Power — Employees (#)</t>
        </is>
      </c>
      <c r="B16" t="n">
        <v>2815</v>
      </c>
      <c r="C16" t="n">
        <v>3071</v>
      </c>
      <c r="D16" s="3" t="inlineStr">
        <is>
          <t>N/A</t>
        </is>
      </c>
      <c r="E16" t="n">
        <v>3130</v>
      </c>
      <c r="F16" t="n">
        <v>3295</v>
      </c>
      <c r="G16" s="17">
        <f>IFERROR(IF(OR(B16="N/A",F16="N/A"),"N/A",(F16/B16)^(1/4)-1),"N/A")</f>
        <v/>
      </c>
    </row>
    <row r="17" ht="40" customHeight="1">
      <c r="A17" s="12" t="inlineStr">
        <is>
          <t>All figures VERIFIED from Tata Power's Integrated Annual Reports (consolidated, reported basis). Revenue FY22-23 (42,576/56,033) is the company's own highlights-basis series incl. regulatory income; as-reported P&amp;L 'Revenue from Operations' is slightly lower (42,816/55,109). Employees = STANDALONE parent only (~2,800-3,300) — most of the group workforce sits in subsidiaries (TPREL, discoms), so do not compare with consolidated revenue.</t>
        </is>
      </c>
    </row>
    <row r="19">
      <c r="A19" s="2" t="inlineStr">
        <is>
          <t>Torrent Power — Revenue / Total Income (₹ cr)</t>
        </is>
      </c>
      <c r="B19" t="n">
        <v>14492.65</v>
      </c>
      <c r="C19" t="n">
        <v>26075.97</v>
      </c>
      <c r="D19" t="n">
        <v>27527.53</v>
      </c>
      <c r="E19" t="n">
        <v>29652.47</v>
      </c>
      <c r="F19" t="n">
        <v>29288.92</v>
      </c>
      <c r="G19" s="17">
        <f>IFERROR(IF(OR(B19="N/A",F19="N/A"),"N/A",(F19/B19)^(1/4)-1),"N/A")</f>
        <v/>
      </c>
    </row>
    <row r="20">
      <c r="A20" s="2" t="inlineStr">
        <is>
          <t>Torrent Power — Net Profit / PAT (₹ cr)</t>
        </is>
      </c>
      <c r="B20" t="n">
        <v>458.7</v>
      </c>
      <c r="C20" t="n">
        <v>2164.67</v>
      </c>
      <c r="D20" t="n">
        <v>1896</v>
      </c>
      <c r="E20" t="n">
        <v>3058.61</v>
      </c>
      <c r="F20" t="n">
        <v>2469.36</v>
      </c>
      <c r="G20" s="17">
        <f>IFERROR(IF(OR(B20="N/A",F20="N/A"),"N/A",(F20/B20)^(1/4)-1),"N/A")</f>
        <v/>
      </c>
    </row>
    <row r="21">
      <c r="A21" s="2" t="inlineStr">
        <is>
          <t>Torrent Power — Total Assets (₹ cr)</t>
        </is>
      </c>
      <c r="B21" t="n">
        <v>25022.7</v>
      </c>
      <c r="C21" t="n">
        <v>29910.18</v>
      </c>
      <c r="D21" t="n">
        <v>33392.48</v>
      </c>
      <c r="E21" t="n">
        <v>36573.38</v>
      </c>
      <c r="F21" t="n">
        <v>45193.28</v>
      </c>
      <c r="G21" s="17">
        <f>IFERROR(IF(OR(B21="N/A",F21="N/A"),"N/A",(F21/B21)^(1/4)-1),"N/A")</f>
        <v/>
      </c>
    </row>
    <row r="22">
      <c r="A22" s="2" t="inlineStr">
        <is>
          <t>Torrent Power — Employees (#)</t>
        </is>
      </c>
      <c r="B22" t="n">
        <v>7603</v>
      </c>
      <c r="C22" t="n">
        <v>6992</v>
      </c>
      <c r="D22" t="n">
        <v>6987</v>
      </c>
      <c r="E22" t="n">
        <v>7213</v>
      </c>
      <c r="F22" t="n">
        <v>6687</v>
      </c>
      <c r="G22" s="17">
        <f>IFERROR(IF(OR(B22="N/A",F22="N/A"),"N/A",(F22/B22)^(1/4)-1),"N/A")</f>
        <v/>
      </c>
    </row>
    <row r="23" ht="40" customHeight="1">
      <c r="A23" s="12" t="inlineStr">
        <is>
          <t>All figures VERIFIED from Torrent Power's Integrated Annual Reports (consolidated). FY22 PAT (₹458.70cr) was depressed by a ~₹1,300cr DGEN plant impairment — treat FY22-base growth rates with care. Employees = standalone permanent employees on Company rolls (Rule 5(1) disclosure) — Torrent runs most operations in the parent entity, so this series is closer to a true group headcount than Adani/Tata's standalone counts.</t>
        </is>
      </c>
    </row>
    <row r="25">
      <c r="A25" s="18" t="inlineStr">
        <is>
          <t>Market price per share (₹, year-end 31-Mar)</t>
        </is>
      </c>
    </row>
    <row r="26">
      <c r="A26" t="inlineStr">
        <is>
          <t>Adani Power — Year-end share price</t>
        </is>
      </c>
      <c r="B26" s="3" t="inlineStr">
        <is>
          <t>TO FILL</t>
        </is>
      </c>
      <c r="C26" s="3" t="inlineStr">
        <is>
          <t>TO FILL</t>
        </is>
      </c>
      <c r="D26" s="3" t="inlineStr">
        <is>
          <t>TO FILL</t>
        </is>
      </c>
      <c r="E26" s="3" t="inlineStr">
        <is>
          <t>TO FILL</t>
        </is>
      </c>
      <c r="F26" s="3" t="inlineStr">
        <is>
          <t>TO FILL</t>
        </is>
      </c>
    </row>
    <row r="27">
      <c r="A27" t="inlineStr">
        <is>
          <t>Tata Power — Year-end share price</t>
        </is>
      </c>
      <c r="B27" s="3" t="inlineStr">
        <is>
          <t>TO FILL</t>
        </is>
      </c>
      <c r="C27" s="3" t="inlineStr">
        <is>
          <t>TO FILL</t>
        </is>
      </c>
      <c r="D27" s="3" t="inlineStr">
        <is>
          <t>TO FILL</t>
        </is>
      </c>
      <c r="E27" s="3" t="inlineStr">
        <is>
          <t>TO FILL</t>
        </is>
      </c>
      <c r="F27" s="3" t="inlineStr">
        <is>
          <t>TO FILL</t>
        </is>
      </c>
    </row>
    <row r="28">
      <c r="A28" t="inlineStr">
        <is>
          <t>Torrent Power — Year-end share price</t>
        </is>
      </c>
      <c r="B28" s="3" t="inlineStr">
        <is>
          <t>TO FILL</t>
        </is>
      </c>
      <c r="C28" s="3" t="inlineStr">
        <is>
          <t>TO FILL</t>
        </is>
      </c>
      <c r="D28" s="3" t="inlineStr">
        <is>
          <t>TO FILL</t>
        </is>
      </c>
      <c r="E28" s="3" t="inlineStr">
        <is>
          <t>TO FILL</t>
        </is>
      </c>
      <c r="F28" s="3" t="inlineStr">
        <is>
          <t>TO FILL</t>
        </is>
      </c>
    </row>
    <row r="30">
      <c r="A30" s="9" t="inlineStr">
        <is>
          <t>Comments</t>
        </is>
      </c>
    </row>
    <row r="31" ht="100" customHeight="1">
      <c r="A31" s="14" t="inlineStr">
        <is>
          <t>SALES GROWTH (FY22→FY26): Adani Power grew revenue ~83% (₹31,686cr → ₹57,865cr, ~16% CAGR), driven by IBC acquisitions (Mahan, Korba) and tariff/prior-period recoveries in FY23-FY24, before plateauing in FY25-FY26. Torrent Power doubled revenue (₹14,493cr → ₹29,289cr, ~19% CAGR) with the single biggest step in FY23 (+80%) from the DNH&amp;DD discom takeover and merchant gas sales. Tata Power grew ~51% (₹42,576cr → ₹64,172cr, ~11% CAGR). PROFIT GROWTH: Adani Power PAT rose from ₹4,912cr to ₹12,971cr (~27% CAGR); FY24's ₹20,829cr spike was one-off-boosted and FY25/FY26 is the cleaner run-rate. Tata Power compounded PAT steadily every single year (₹2,156cr → ₹5,118cr, ~24% CAGR) — the most consistent grower. Torrent is profitable but lumpy: FY22 was impairment-depressed (₹459cr), rebounding to ₹2,165-3,059cr, easing to ₹2,469cr in FY26. ASSETS GROWTH: Adani Power's asset base grew ~74% (₹81,981cr → ₹1,42,280cr), accelerating sharply after FY24 as acquisitions and new capacity landed. Tata Power grew ~55% to ₹1,75,172cr — the largest absolute base. Torrent grew ~81% (₹25,023cr → ₹45,193cr; Nabha Power + capex cycle) — the fastest in relative terms. MARKET PRICE: year-end share-price rows still need NSE/Yahoo historical data (yellow) to complete the fourth lens.</t>
        </is>
      </c>
    </row>
    <row r="32"/>
    <row r="33"/>
    <row r="34"/>
    <row r="35"/>
  </sheetData>
  <mergeCells count="6">
    <mergeCell ref="A1:G1"/>
    <mergeCell ref="A31:G35"/>
    <mergeCell ref="A17:G17"/>
    <mergeCell ref="A2:G2"/>
    <mergeCell ref="A11:G11"/>
    <mergeCell ref="A23:G23"/>
  </mergeCells>
  <pageMargins left="0.75" right="0.75" top="1" bottom="1" header="0.5" footer="0.5"/>
  <drawing xmlns:r="http://schemas.openxmlformats.org/officeDocument/2006/relationships" r:id="rId1"/>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sheetData>
    <row r="1">
      <c r="A1" t="inlineStr">
        <is>
          <t>Year</t>
        </is>
      </c>
      <c r="B1" t="inlineStr">
        <is>
          <t>Adani Power Revenue</t>
        </is>
      </c>
      <c r="C1" t="inlineStr">
        <is>
          <t>Tata Power Revenue</t>
        </is>
      </c>
      <c r="D1" t="inlineStr">
        <is>
          <t>Torrent Power Revenue</t>
        </is>
      </c>
    </row>
    <row r="2">
      <c r="A2" t="inlineStr">
        <is>
          <t>FY22</t>
        </is>
      </c>
      <c r="B2" t="n">
        <v>31686.47</v>
      </c>
      <c r="C2" t="n">
        <v>42576</v>
      </c>
      <c r="D2" t="n">
        <v>14492.65</v>
      </c>
    </row>
    <row r="3">
      <c r="A3" t="inlineStr">
        <is>
          <t>FY23</t>
        </is>
      </c>
      <c r="B3" t="n">
        <v>43040.52</v>
      </c>
      <c r="C3" t="n">
        <v>56033</v>
      </c>
      <c r="D3" t="n">
        <v>26075.97</v>
      </c>
    </row>
    <row r="4">
      <c r="A4" t="inlineStr">
        <is>
          <t>FY24</t>
        </is>
      </c>
      <c r="B4" t="n">
        <v>60281.48</v>
      </c>
      <c r="C4" t="n">
        <v>63272.32</v>
      </c>
      <c r="D4" t="n">
        <v>27527.53</v>
      </c>
    </row>
    <row r="5">
      <c r="A5" t="inlineStr">
        <is>
          <t>FY25</t>
        </is>
      </c>
      <c r="B5" t="n">
        <v>58905.83</v>
      </c>
      <c r="C5" t="n">
        <v>66992.17</v>
      </c>
      <c r="D5" t="n">
        <v>29652.47</v>
      </c>
    </row>
    <row r="6">
      <c r="A6" t="inlineStr">
        <is>
          <t>FY26</t>
        </is>
      </c>
      <c r="B6" t="n">
        <v>57865.28</v>
      </c>
      <c r="C6" t="n">
        <v>64171.66</v>
      </c>
      <c r="D6" t="n">
        <v>29288.92</v>
      </c>
    </row>
    <row r="8">
      <c r="A8" t="inlineStr">
        <is>
          <t>Year</t>
        </is>
      </c>
      <c r="B8" t="inlineStr">
        <is>
          <t>Adani Power PAT</t>
        </is>
      </c>
      <c r="C8" t="inlineStr">
        <is>
          <t>Tata Power PAT</t>
        </is>
      </c>
      <c r="D8" t="inlineStr">
        <is>
          <t>Torrent Power PAT</t>
        </is>
      </c>
    </row>
    <row r="9">
      <c r="A9" t="inlineStr">
        <is>
          <t>FY22</t>
        </is>
      </c>
      <c r="B9" t="n">
        <v>4911.58</v>
      </c>
      <c r="C9" t="n">
        <v>2156</v>
      </c>
      <c r="D9" t="n">
        <v>458.7</v>
      </c>
    </row>
    <row r="10">
      <c r="A10" t="inlineStr">
        <is>
          <t>FY23</t>
        </is>
      </c>
      <c r="B10" t="n">
        <v>10726.64</v>
      </c>
      <c r="C10" t="n">
        <v>3810</v>
      </c>
      <c r="D10" t="n">
        <v>2164.67</v>
      </c>
    </row>
    <row r="11">
      <c r="A11" t="inlineStr">
        <is>
          <t>FY24</t>
        </is>
      </c>
      <c r="B11" t="n">
        <v>20828.79</v>
      </c>
      <c r="C11" t="n">
        <v>4280</v>
      </c>
      <c r="D11" t="n">
        <v>1896</v>
      </c>
    </row>
    <row r="12">
      <c r="A12" t="inlineStr">
        <is>
          <t>FY25</t>
        </is>
      </c>
      <c r="B12" t="n">
        <v>12749.61</v>
      </c>
      <c r="C12" t="n">
        <v>4775</v>
      </c>
      <c r="D12" t="n">
        <v>3058.61</v>
      </c>
    </row>
    <row r="13">
      <c r="A13" t="inlineStr">
        <is>
          <t>FY26</t>
        </is>
      </c>
      <c r="B13" t="n">
        <v>12971.08</v>
      </c>
      <c r="C13" t="n">
        <v>5118</v>
      </c>
      <c r="D13" t="n">
        <v>2469.36</v>
      </c>
    </row>
    <row r="15">
      <c r="A15" t="inlineStr">
        <is>
          <t>Year</t>
        </is>
      </c>
      <c r="B15" t="inlineStr">
        <is>
          <t>Adani Power Assets</t>
        </is>
      </c>
      <c r="C15" t="inlineStr">
        <is>
          <t>Tata Power Assets</t>
        </is>
      </c>
      <c r="D15" t="inlineStr">
        <is>
          <t>Torrent Power Assets</t>
        </is>
      </c>
    </row>
    <row r="16">
      <c r="A16" t="inlineStr">
        <is>
          <t>FY22</t>
        </is>
      </c>
      <c r="B16" t="n">
        <v>81981.02</v>
      </c>
      <c r="C16" t="n">
        <v>112884.59</v>
      </c>
      <c r="D16" t="n">
        <v>25022.7</v>
      </c>
    </row>
    <row r="17">
      <c r="A17" t="inlineStr">
        <is>
          <t>FY23</t>
        </is>
      </c>
      <c r="B17" t="n">
        <v>85821.27</v>
      </c>
      <c r="C17" t="n">
        <v>128349.04</v>
      </c>
      <c r="D17" t="n">
        <v>29910.18</v>
      </c>
    </row>
    <row r="18">
      <c r="A18" t="inlineStr">
        <is>
          <t>FY24</t>
        </is>
      </c>
      <c r="B18" t="n">
        <v>92324.77</v>
      </c>
      <c r="C18" t="n">
        <v>139553.49</v>
      </c>
      <c r="D18" t="n">
        <v>33392.48</v>
      </c>
    </row>
    <row r="19">
      <c r="A19" t="inlineStr">
        <is>
          <t>FY25</t>
        </is>
      </c>
      <c r="B19" t="n">
        <v>112917.57</v>
      </c>
      <c r="C19" t="n">
        <v>156711.29</v>
      </c>
      <c r="D19" t="n">
        <v>36573.38</v>
      </c>
    </row>
    <row r="20">
      <c r="A20" t="inlineStr">
        <is>
          <t>FY26</t>
        </is>
      </c>
      <c r="B20" t="n">
        <v>142279.92</v>
      </c>
      <c r="C20" t="n">
        <v>175171.78</v>
      </c>
      <c r="D20" t="n">
        <v>45193.28</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4"/>
  <sheetViews>
    <sheetView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2" customWidth="1" min="1" max="1"/>
    <col width="12" customWidth="1" min="2" max="2"/>
    <col width="12" customWidth="1" min="3" max="3"/>
    <col width="12" customWidth="1" min="4" max="4"/>
    <col width="12" customWidth="1" min="5" max="5"/>
    <col width="12" customWidth="1" min="6" max="6"/>
  </cols>
  <sheetData>
    <row r="1" ht="24" customHeight="1">
      <c r="A1" s="7" t="inlineStr">
        <is>
          <t>3. Sales per Rupee of Asset Deployed &amp; Sales per Employee (FY22-FY26)</t>
        </is>
      </c>
    </row>
    <row r="2">
      <c r="A2" s="8" t="inlineStr">
        <is>
          <t>Sales per ₹ of asset = Revenue / Total Assets (x). Sales per employee = Revenue (₹ cr) / Employees, shown in ₹ lakh/employee.</t>
        </is>
      </c>
    </row>
    <row r="3" ht="6" customHeight="1"/>
    <row r="5">
      <c r="A5" s="10" t="inlineStr">
        <is>
          <t>Company / Metric</t>
        </is>
      </c>
      <c r="B5" s="10" t="inlineStr">
        <is>
          <t>FY22</t>
        </is>
      </c>
      <c r="C5" s="10" t="inlineStr">
        <is>
          <t>FY23</t>
        </is>
      </c>
      <c r="D5" s="10" t="inlineStr">
        <is>
          <t>FY24</t>
        </is>
      </c>
      <c r="E5" s="10" t="inlineStr">
        <is>
          <t>FY25</t>
        </is>
      </c>
      <c r="F5" s="10" t="inlineStr">
        <is>
          <t>FY26</t>
        </is>
      </c>
    </row>
    <row r="7">
      <c r="A7" s="2" t="inlineStr">
        <is>
          <t>Adani Power — Sales / Total Assets (x)</t>
        </is>
      </c>
      <c r="B7" s="19">
        <f>IFERROR(IF(OR(ISTEXT('2_Growth_Comparison'!B7),ISTEXT('2_Growth_Comparison'!B9)),"N/A",'2_Growth_Comparison'!B7/'2_Growth_Comparison'!B9),"N/A")</f>
        <v/>
      </c>
      <c r="C7" s="19">
        <f>IFERROR(IF(OR(ISTEXT('2_Growth_Comparison'!C7),ISTEXT('2_Growth_Comparison'!C9)),"N/A",'2_Growth_Comparison'!C7/'2_Growth_Comparison'!C9),"N/A")</f>
        <v/>
      </c>
      <c r="D7" s="19">
        <f>IFERROR(IF(OR(ISTEXT('2_Growth_Comparison'!D7),ISTEXT('2_Growth_Comparison'!D9)),"N/A",'2_Growth_Comparison'!D7/'2_Growth_Comparison'!D9),"N/A")</f>
        <v/>
      </c>
      <c r="E7" s="19">
        <f>IFERROR(IF(OR(ISTEXT('2_Growth_Comparison'!E7),ISTEXT('2_Growth_Comparison'!E9)),"N/A",'2_Growth_Comparison'!E7/'2_Growth_Comparison'!E9),"N/A")</f>
        <v/>
      </c>
      <c r="F7" s="19">
        <f>IFERROR(IF(OR(ISTEXT('2_Growth_Comparison'!F7),ISTEXT('2_Growth_Comparison'!F9)),"N/A",'2_Growth_Comparison'!F7/'2_Growth_Comparison'!F9),"N/A")</f>
        <v/>
      </c>
    </row>
    <row r="8">
      <c r="A8" s="2" t="inlineStr">
        <is>
          <t>Adani Power — Sales / Employee (₹ lakh)</t>
        </is>
      </c>
      <c r="B8" s="19">
        <f>IFERROR(IF(OR(ISTEXT('2_Growth_Comparison'!B7),ISTEXT('2_Growth_Comparison'!B10)),"N/A",'2_Growth_Comparison'!B7*100/'2_Growth_Comparison'!B10),"N/A")</f>
        <v/>
      </c>
      <c r="C8" s="19">
        <f>IFERROR(IF(OR(ISTEXT('2_Growth_Comparison'!C7),ISTEXT('2_Growth_Comparison'!C10)),"N/A",'2_Growth_Comparison'!C7*100/'2_Growth_Comparison'!C10),"N/A")</f>
        <v/>
      </c>
      <c r="D8" s="19">
        <f>IFERROR(IF(OR(ISTEXT('2_Growth_Comparison'!D7),ISTEXT('2_Growth_Comparison'!D10)),"N/A",'2_Growth_Comparison'!D7*100/'2_Growth_Comparison'!D10),"N/A")</f>
        <v/>
      </c>
      <c r="E8" s="19">
        <f>IFERROR(IF(OR(ISTEXT('2_Growth_Comparison'!E7),ISTEXT('2_Growth_Comparison'!E10)),"N/A",'2_Growth_Comparison'!E7*100/'2_Growth_Comparison'!E10),"N/A")</f>
        <v/>
      </c>
      <c r="F8" s="19">
        <f>IFERROR(IF(OR(ISTEXT('2_Growth_Comparison'!F7),ISTEXT('2_Growth_Comparison'!F10)),"N/A",'2_Growth_Comparison'!F7*100/'2_Growth_Comparison'!F10),"N/A")</f>
        <v/>
      </c>
    </row>
    <row r="10">
      <c r="A10" s="2" t="inlineStr">
        <is>
          <t>Tata Power — Sales / Total Assets (x)</t>
        </is>
      </c>
      <c r="B10" s="19">
        <f>IFERROR(IF(OR(ISTEXT('2_Growth_Comparison'!B13),ISTEXT('2_Growth_Comparison'!B15)),"N/A",'2_Growth_Comparison'!B13/'2_Growth_Comparison'!B15),"N/A")</f>
        <v/>
      </c>
      <c r="C10" s="19">
        <f>IFERROR(IF(OR(ISTEXT('2_Growth_Comparison'!C13),ISTEXT('2_Growth_Comparison'!C15)),"N/A",'2_Growth_Comparison'!C13/'2_Growth_Comparison'!C15),"N/A")</f>
        <v/>
      </c>
      <c r="D10" s="19">
        <f>IFERROR(IF(OR(ISTEXT('2_Growth_Comparison'!D13),ISTEXT('2_Growth_Comparison'!D15)),"N/A",'2_Growth_Comparison'!D13/'2_Growth_Comparison'!D15),"N/A")</f>
        <v/>
      </c>
      <c r="E10" s="19">
        <f>IFERROR(IF(OR(ISTEXT('2_Growth_Comparison'!E13),ISTEXT('2_Growth_Comparison'!E15)),"N/A",'2_Growth_Comparison'!E13/'2_Growth_Comparison'!E15),"N/A")</f>
        <v/>
      </c>
      <c r="F10" s="19">
        <f>IFERROR(IF(OR(ISTEXT('2_Growth_Comparison'!F13),ISTEXT('2_Growth_Comparison'!F15)),"N/A",'2_Growth_Comparison'!F13/'2_Growth_Comparison'!F15),"N/A")</f>
        <v/>
      </c>
    </row>
    <row r="11">
      <c r="A11" s="2" t="inlineStr">
        <is>
          <t>Tata Power — Sales / Employee (₹ lakh)</t>
        </is>
      </c>
      <c r="B11" s="19">
        <f>IFERROR(IF(OR(ISTEXT('2_Growth_Comparison'!B13),ISTEXT('2_Growth_Comparison'!B16)),"N/A",'2_Growth_Comparison'!B13*100/'2_Growth_Comparison'!B16),"N/A")</f>
        <v/>
      </c>
      <c r="C11" s="19">
        <f>IFERROR(IF(OR(ISTEXT('2_Growth_Comparison'!C13),ISTEXT('2_Growth_Comparison'!C16)),"N/A",'2_Growth_Comparison'!C13*100/'2_Growth_Comparison'!C16),"N/A")</f>
        <v/>
      </c>
      <c r="D11" s="19">
        <f>IFERROR(IF(OR(ISTEXT('2_Growth_Comparison'!D13),ISTEXT('2_Growth_Comparison'!D16)),"N/A",'2_Growth_Comparison'!D13*100/'2_Growth_Comparison'!D16),"N/A")</f>
        <v/>
      </c>
      <c r="E11" s="19">
        <f>IFERROR(IF(OR(ISTEXT('2_Growth_Comparison'!E13),ISTEXT('2_Growth_Comparison'!E16)),"N/A",'2_Growth_Comparison'!E13*100/'2_Growth_Comparison'!E16),"N/A")</f>
        <v/>
      </c>
      <c r="F11" s="19">
        <f>IFERROR(IF(OR(ISTEXT('2_Growth_Comparison'!F13),ISTEXT('2_Growth_Comparison'!F16)),"N/A",'2_Growth_Comparison'!F13*100/'2_Growth_Comparison'!F16),"N/A")</f>
        <v/>
      </c>
    </row>
    <row r="13">
      <c r="A13" s="2" t="inlineStr">
        <is>
          <t>Torrent Power — Sales / Total Assets (x)</t>
        </is>
      </c>
      <c r="B13" s="19">
        <f>IFERROR(IF(OR(ISTEXT('2_Growth_Comparison'!B19),ISTEXT('2_Growth_Comparison'!B21)),"N/A",'2_Growth_Comparison'!B19/'2_Growth_Comparison'!B21),"N/A")</f>
        <v/>
      </c>
      <c r="C13" s="19">
        <f>IFERROR(IF(OR(ISTEXT('2_Growth_Comparison'!C19),ISTEXT('2_Growth_Comparison'!C21)),"N/A",'2_Growth_Comparison'!C19/'2_Growth_Comparison'!C21),"N/A")</f>
        <v/>
      </c>
      <c r="D13" s="19">
        <f>IFERROR(IF(OR(ISTEXT('2_Growth_Comparison'!D19),ISTEXT('2_Growth_Comparison'!D21)),"N/A",'2_Growth_Comparison'!D19/'2_Growth_Comparison'!D21),"N/A")</f>
        <v/>
      </c>
      <c r="E13" s="19">
        <f>IFERROR(IF(OR(ISTEXT('2_Growth_Comparison'!E19),ISTEXT('2_Growth_Comparison'!E21)),"N/A",'2_Growth_Comparison'!E19/'2_Growth_Comparison'!E21),"N/A")</f>
        <v/>
      </c>
      <c r="F13" s="19">
        <f>IFERROR(IF(OR(ISTEXT('2_Growth_Comparison'!F19),ISTEXT('2_Growth_Comparison'!F21)),"N/A",'2_Growth_Comparison'!F19/'2_Growth_Comparison'!F21),"N/A")</f>
        <v/>
      </c>
    </row>
    <row r="14">
      <c r="A14" s="2" t="inlineStr">
        <is>
          <t>Torrent Power — Sales / Employee (₹ lakh)</t>
        </is>
      </c>
      <c r="B14" s="19">
        <f>IFERROR(IF(OR(ISTEXT('2_Growth_Comparison'!B19),ISTEXT('2_Growth_Comparison'!B22)),"N/A",'2_Growth_Comparison'!B19*100/'2_Growth_Comparison'!B22),"N/A")</f>
        <v/>
      </c>
      <c r="C14" s="19">
        <f>IFERROR(IF(OR(ISTEXT('2_Growth_Comparison'!C19),ISTEXT('2_Growth_Comparison'!C22)),"N/A",'2_Growth_Comparison'!C19*100/'2_Growth_Comparison'!C22),"N/A")</f>
        <v/>
      </c>
      <c r="D14" s="19">
        <f>IFERROR(IF(OR(ISTEXT('2_Growth_Comparison'!D19),ISTEXT('2_Growth_Comparison'!D22)),"N/A",'2_Growth_Comparison'!D19*100/'2_Growth_Comparison'!D22),"N/A")</f>
        <v/>
      </c>
      <c r="E14" s="19">
        <f>IFERROR(IF(OR(ISTEXT('2_Growth_Comparison'!E19),ISTEXT('2_Growth_Comparison'!E22)),"N/A",'2_Growth_Comparison'!E19*100/'2_Growth_Comparison'!E22),"N/A")</f>
        <v/>
      </c>
      <c r="F14" s="19">
        <f>IFERROR(IF(OR(ISTEXT('2_Growth_Comparison'!F19),ISTEXT('2_Growth_Comparison'!F22)),"N/A",'2_Growth_Comparison'!F19*100/'2_Growth_Comparison'!F22),"N/A")</f>
        <v/>
      </c>
    </row>
    <row r="16">
      <c r="A16" s="9" t="inlineStr">
        <is>
          <t>Comments</t>
        </is>
      </c>
    </row>
    <row r="17" ht="130" customHeight="1">
      <c r="A17" s="14" t="inlineStr">
        <is>
          <t>SALES PER RUPEE OF ASSET (all five years computed from verified Annual Report data): Adani Power improved from ~0.39x (FY22) to a peak of ~0.65x (FY24), then fell back to ~0.41x (FY26) as its asset base ballooned ahead of revenue from new acquisitions still ramping up. Tata Power is stable in a ~0.37-0.45x band — typical of a regulated, asset-heavy integrated utility. Torrent Power is consistently the MOST asset-efficient of the three (~0.58-0.87x, peaking FY23 when DNH&amp;DD volumes hit a still-small asset base) — its regulated distribution business generates more revenue per rupee of assets than pure thermal generation does. SALES PER EMPLOYEE: comparable across time within Torrent (parent employs most staff) but NOT comparable across companies — Adani and Tata employee counts are standalone-parent only, while their revenue is consolidated (Tata's discoms/TPREL staff sit in subsidiaries). Use the Torrent series as the benchmark and treat Adani/Tata Sales-per-Employee as indicative only, noting the basis in any write-up.</t>
        </is>
      </c>
    </row>
    <row r="18"/>
    <row r="19"/>
    <row r="20"/>
    <row r="21"/>
    <row r="22"/>
    <row r="23"/>
    <row r="24"/>
  </sheetData>
  <mergeCells count="3">
    <mergeCell ref="A2:F2"/>
    <mergeCell ref="A1:F1"/>
    <mergeCell ref="A17:F2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1"/>
  <sheetViews>
    <sheetView workbookViewId="0">
      <pane ySplit="5" topLeftCell="A6" activePane="bottomLeft" state="frozen"/>
      <selection pane="bottomLeft" activeCell="A1" sqref="A1"/>
    </sheetView>
  </sheetViews>
  <sheetFormatPr baseColWidth="8" defaultRowHeight="15"/>
  <cols>
    <col width="16" customWidth="1" min="1" max="1"/>
    <col width="24" customWidth="1" min="2" max="2"/>
    <col width="30" customWidth="1" min="3" max="3"/>
    <col width="18" customWidth="1" min="4" max="4"/>
    <col width="16" customWidth="1" min="5" max="5"/>
    <col width="18" customWidth="1" min="6" max="6"/>
    <col width="45" customWidth="1" min="7" max="7"/>
  </cols>
  <sheetData>
    <row r="1" ht="24" customHeight="1">
      <c r="A1" s="7" t="inlineStr">
        <is>
          <t>4. Business Acquisitions (last ~5 years) &amp; Impact</t>
        </is>
      </c>
    </row>
    <row r="2">
      <c r="A2" s="8" t="inlineStr">
        <is>
          <t>Deal size, status, and available data on post-acquisition impact on sales/profit/cash from operations.</t>
        </is>
      </c>
    </row>
    <row r="3" ht="6" customHeight="1"/>
    <row r="5">
      <c r="A5" s="10" t="inlineStr">
        <is>
          <t>Company</t>
        </is>
      </c>
      <c r="B5" s="10" t="inlineStr">
        <is>
          <t>Date</t>
        </is>
      </c>
      <c r="C5" s="10" t="inlineStr">
        <is>
          <t>Target / Deal</t>
        </is>
      </c>
      <c r="D5" s="10" t="inlineStr">
        <is>
          <t>Deal Size (₹ cr)</t>
        </is>
      </c>
      <c r="E5" s="10" t="inlineStr">
        <is>
          <t>Status</t>
        </is>
      </c>
      <c r="F5" s="10" t="inlineStr">
        <is>
          <t>Route</t>
        </is>
      </c>
      <c r="G5" s="10" t="inlineStr">
        <is>
          <t>Impact on Sales/Profit/CFO post-acquisition</t>
        </is>
      </c>
    </row>
    <row r="6" ht="45" customHeight="1">
      <c r="A6" s="16" t="inlineStr">
        <is>
          <t>Adani Power</t>
        </is>
      </c>
      <c r="B6" s="16" t="inlineStr">
        <is>
          <t>Mar 2022</t>
        </is>
      </c>
      <c r="C6" s="16" t="inlineStr">
        <is>
          <t>Essar Power MP → Mahan Energen Ltd (1,200 MW, MP)</t>
        </is>
      </c>
      <c r="D6" s="16" t="inlineStr">
        <is>
          <t>&gt;4,250</t>
        </is>
      </c>
      <c r="E6" s="16" t="inlineStr">
        <is>
          <t>Completed</t>
        </is>
      </c>
      <c r="F6" s="16" t="inlineStr">
        <is>
          <t>IBC/CIRP</t>
        </is>
      </c>
      <c r="G6" s="16" t="inlineStr">
        <is>
          <t>Lifted total operating capacity; management cites new-acquisition depreciation as a near-term drag on PBT, but capacity/EBITDA growth outweighs it. No standalone P&amp;L attribution disclosed publicly.</t>
        </is>
      </c>
    </row>
    <row r="7" ht="45" customHeight="1">
      <c r="A7" s="16" t="inlineStr">
        <is>
          <t>Adani Power</t>
        </is>
      </c>
      <c r="B7" s="16" t="inlineStr">
        <is>
          <t>Feb 2023</t>
        </is>
      </c>
      <c r="C7" s="16" t="inlineStr">
        <is>
          <t>DB Power (1,200 MW, Chhattisgarh)</t>
        </is>
      </c>
      <c r="D7" s="16" t="inlineStr">
        <is>
          <t>7,017 (deal signed)</t>
        </is>
      </c>
      <c r="E7" s="16" t="inlineStr">
        <is>
          <t>LAPSED — long-stop date expired unconsummated</t>
        </is>
      </c>
      <c r="F7" s="16" t="inlineStr">
        <is>
          <t>Negotiated M&amp;A</t>
        </is>
      </c>
      <c r="G7" s="16" t="inlineStr">
        <is>
          <t>None — deal did not close.</t>
        </is>
      </c>
    </row>
    <row r="8" ht="45" customHeight="1">
      <c r="A8" s="16" t="inlineStr">
        <is>
          <t>Adani Power</t>
        </is>
      </c>
      <c r="B8" s="16" t="inlineStr">
        <is>
          <t>Aug 2024</t>
        </is>
      </c>
      <c r="C8" s="16" t="inlineStr">
        <is>
          <t>Lanco Amarkantak → Korba Power Ltd (600 MW, Chhattisgarh)</t>
        </is>
      </c>
      <c r="D8" s="16" t="inlineStr">
        <is>
          <t>4,101</t>
        </is>
      </c>
      <c r="E8" s="16" t="inlineStr">
        <is>
          <t>NCLT-approved, completed</t>
        </is>
      </c>
      <c r="F8" s="16" t="inlineStr">
        <is>
          <t>IBC/CIRP</t>
        </is>
      </c>
      <c r="G8" s="16" t="inlineStr">
        <is>
          <t>Contributed to capacity growth to 17,550 MW (Q1 FY26); no standalone P&amp;L split disclosed.</t>
        </is>
      </c>
    </row>
    <row r="9" ht="45" customHeight="1">
      <c r="A9" s="16" t="inlineStr">
        <is>
          <t>Adani Power</t>
        </is>
      </c>
      <c r="B9" s="16" t="inlineStr">
        <is>
          <t>Aug 2024</t>
        </is>
      </c>
      <c r="C9" s="16" t="inlineStr">
        <is>
          <t>Coastal Energen → Moxie Power Generation Ltd (1,200 MW, Tamil Nadu) — 49% JV with DAIT</t>
        </is>
      </c>
      <c r="D9" s="16" t="inlineStr">
        <is>
          <t>~3,335 (to creditors)</t>
        </is>
      </c>
      <c r="E9" s="16" t="inlineStr">
        <is>
          <t>NCLT-approved, completed</t>
        </is>
      </c>
      <c r="F9" s="16" t="inlineStr">
        <is>
          <t>IBC/CIRP (JV, Adani 49%)</t>
        </is>
      </c>
      <c r="G9" s="16" t="inlineStr">
        <is>
          <t>Adds south-India footprint; equity-accounted as JV, so full revenue not consolidated line-by-line.</t>
        </is>
      </c>
    </row>
    <row r="10" ht="45" customHeight="1">
      <c r="A10" s="16" t="inlineStr">
        <is>
          <t>Adani Power</t>
        </is>
      </c>
      <c r="B10" s="16" t="inlineStr">
        <is>
          <t>Jul 2025</t>
        </is>
      </c>
      <c r="C10" s="16" t="inlineStr">
        <is>
          <t>Vidarbha Industries Power Ltd (600 MW, Nagpur)</t>
        </is>
      </c>
      <c r="D10" s="16" t="inlineStr">
        <is>
          <t>Not disclosed</t>
        </is>
      </c>
      <c r="E10" s="16" t="inlineStr">
        <is>
          <t>Completed</t>
        </is>
      </c>
      <c r="F10" s="16" t="inlineStr">
        <is>
          <t>IBC/CIRP</t>
        </is>
      </c>
      <c r="G10" s="16" t="inlineStr">
        <is>
          <t>Took total operating capacity to 18,150 MW.</t>
        </is>
      </c>
    </row>
    <row r="11" ht="45" customHeight="1">
      <c r="A11" s="16" t="inlineStr">
        <is>
          <t>Adani Power</t>
        </is>
      </c>
      <c r="B11" s="16" t="inlineStr">
        <is>
          <t>~Mar 2026</t>
        </is>
      </c>
      <c r="C11" s="16" t="inlineStr">
        <is>
          <t>Jaiprakash Power Ventures Ltd — 24% stake via resolution plan (thermal + hydro assets)</t>
        </is>
      </c>
      <c r="D11" s="16" t="inlineStr">
        <is>
          <t>~14,535</t>
        </is>
      </c>
      <c r="E11" s="16" t="inlineStr">
        <is>
          <t>NCLT approved</t>
        </is>
      </c>
      <c r="F11" s="16" t="inlineStr">
        <is>
          <t>IBC/CIRP (implementing entity)</t>
        </is>
      </c>
      <c r="G11" s="16" t="inlineStr">
        <is>
          <t>Too recent for post-acquisition P&amp;L data; JP Power stock jumped ~29% in 2 days on the news.</t>
        </is>
      </c>
    </row>
    <row r="12" ht="45" customHeight="1">
      <c r="A12" s="16" t="inlineStr">
        <is>
          <t>Adani Power</t>
        </is>
      </c>
      <c r="B12" s="16" t="inlineStr">
        <is>
          <t>Dec 2025 (bid)</t>
        </is>
      </c>
      <c r="C12" s="16" t="inlineStr">
        <is>
          <t>GVK Energy — Alaknanda hydro (330 MW, Uttarakhand)</t>
        </is>
      </c>
      <c r="D12" s="16" t="inlineStr">
        <is>
          <t>~3,000-4,000 (bid range)</t>
        </is>
      </c>
      <c r="E12" s="16" t="inlineStr">
        <is>
          <t>Frontrunner reported; completion unconfirmed</t>
        </is>
      </c>
      <c r="F12" s="16" t="inlineStr">
        <is>
          <t>IBC/CIRP (bidding)</t>
        </is>
      </c>
      <c r="G12" s="16" t="inlineStr">
        <is>
          <t>Not yet completed as of research date — verify current status.</t>
        </is>
      </c>
    </row>
    <row r="13" ht="45" customHeight="1">
      <c r="A13" s="16" t="inlineStr">
        <is>
          <t>Adani Power</t>
        </is>
      </c>
      <c r="B13" s="16" t="inlineStr">
        <is>
          <t>2024 (bid)</t>
        </is>
      </c>
      <c r="C13" s="16" t="inlineStr">
        <is>
          <t>KSK Mahanadi Power (1,800 MW, Chhattisgarh)</t>
        </is>
      </c>
      <c r="D13" s="16" t="inlineStr">
        <is>
          <t>~27,000 (bid)</t>
        </is>
      </c>
      <c r="E13" s="16" t="inlineStr">
        <is>
          <t>Completion status unconfirmed</t>
        </is>
      </c>
      <c r="F13" s="16" t="inlineStr">
        <is>
          <t>IBC/CIRP (bidding)</t>
        </is>
      </c>
      <c r="G13" s="16" t="inlineStr">
        <is>
          <t>Verify current status directly.</t>
        </is>
      </c>
    </row>
    <row r="14" ht="45" customHeight="1">
      <c r="A14" s="16" t="inlineStr">
        <is>
          <t>Tata Power</t>
        </is>
      </c>
      <c r="B14" s="16" t="inlineStr">
        <is>
          <t>Mar 2021</t>
        </is>
      </c>
      <c r="C14" s="16" t="inlineStr">
        <is>
          <t>NESCO → TP Northern Odisha Distribution Ltd (TPNODL) — 51%</t>
        </is>
      </c>
      <c r="D14" s="16" t="inlineStr">
        <is>
          <t>191</t>
        </is>
      </c>
      <c r="E14" s="16" t="inlineStr">
        <is>
          <t>Completed</t>
        </is>
      </c>
      <c r="F14" s="16" t="inlineStr">
        <is>
          <t>PPP discom privatization</t>
        </is>
      </c>
      <c r="G14" s="16" t="inlineStr">
        <is>
          <t>Part of a wave of 4 Odisha discom acquisitions (2020-21) that materially grew the T&amp;D segment's customer base (12.6mn customers) and revenue.</t>
        </is>
      </c>
    </row>
    <row r="15" ht="45" customHeight="1">
      <c r="A15" s="16" t="inlineStr">
        <is>
          <t>Tata Power</t>
        </is>
      </c>
      <c r="B15" s="16" t="inlineStr">
        <is>
          <t>2020-21</t>
        </is>
      </c>
      <c r="C15" s="16" t="inlineStr">
        <is>
          <t>TP Central/Western/Southern Odisha Distribution Ltds (TPCODL/TPWODL/TPSODL) — 51% each</t>
        </is>
      </c>
      <c r="D15" s="16" t="inlineStr">
        <is>
          <t>Not found</t>
        </is>
      </c>
      <c r="E15" s="16" t="inlineStr">
        <is>
          <t>Completed</t>
        </is>
      </c>
      <c r="F15" s="16" t="inlineStr">
        <is>
          <t>PPP discom privatization</t>
        </is>
      </c>
      <c r="G15" s="16" t="inlineStr">
        <is>
          <t>See above — combined Odisha discom impact drove T&amp;D revenue growth through FY22-24.</t>
        </is>
      </c>
    </row>
    <row r="16" ht="45" customHeight="1">
      <c r="A16" s="16" t="inlineStr">
        <is>
          <t>Tata Power</t>
        </is>
      </c>
      <c r="B16" s="16" t="inlineStr">
        <is>
          <t>2023</t>
        </is>
      </c>
      <c r="C16" s="16" t="inlineStr">
        <is>
          <t>Resurgent Power Ventures — NRSS XXXVI Transmission Ltd &amp; South East UP Power Transmission Co Ltd (transmission SPVs)</t>
        </is>
      </c>
      <c r="D16" s="16" t="inlineStr">
        <is>
          <t>Not found</t>
        </is>
      </c>
      <c r="E16" s="16" t="inlineStr">
        <is>
          <t>Completed</t>
        </is>
      </c>
      <c r="F16" s="16" t="inlineStr">
        <is>
          <t>M&amp;A (transmission assets)</t>
        </is>
      </c>
      <c r="G16" s="16" t="inlineStr">
        <is>
          <t>Expands regulated transmission asset base; no standalone P&amp;L disclosed.</t>
        </is>
      </c>
    </row>
    <row r="17" ht="45" customHeight="1">
      <c r="A17" s="16" t="inlineStr">
        <is>
          <t>Tata Power</t>
        </is>
      </c>
      <c r="B17" s="16" t="inlineStr">
        <is>
          <t>Ongoing</t>
        </is>
      </c>
      <c r="C17" s="16" t="inlineStr">
        <is>
          <t>Dorjilung Hydro Power Ltd stake (Bhutan, 1,125 MW project)</t>
        </is>
      </c>
      <c r="D17" s="16" t="inlineStr">
        <is>
          <t>Not found</t>
        </is>
      </c>
      <c r="E17" s="16" t="inlineStr">
        <is>
          <t>In development</t>
        </is>
      </c>
      <c r="F17" s="16" t="inlineStr">
        <is>
          <t>JV/equity stake</t>
        </is>
      </c>
      <c r="G17" s="16" t="inlineStr">
        <is>
          <t>Development-stage; no revenue contribution yet.</t>
        </is>
      </c>
    </row>
    <row r="18" ht="45" customHeight="1">
      <c r="A18" s="16" t="inlineStr">
        <is>
          <t>Tata Power</t>
        </is>
      </c>
      <c r="B18" s="16" t="inlineStr">
        <is>
          <t>Jun 2026</t>
        </is>
      </c>
      <c r="C18" s="16" t="inlineStr">
        <is>
          <t>Ryapte Power (transmission SPV) — Letter of Intent</t>
        </is>
      </c>
      <c r="D18" s="16" t="inlineStr">
        <is>
          <t>Not found</t>
        </is>
      </c>
      <c r="E18" s="16" t="inlineStr">
        <is>
          <t>LOI stage</t>
        </is>
      </c>
      <c r="F18" s="16" t="inlineStr">
        <is>
          <t>M&amp;A</t>
        </is>
      </c>
      <c r="G18" s="16" t="inlineStr">
        <is>
          <t>Too recent — no impact data.</t>
        </is>
      </c>
    </row>
    <row r="19" ht="45" customHeight="1">
      <c r="A19" s="16" t="inlineStr">
        <is>
          <t>Torrent Power</t>
        </is>
      </c>
      <c r="B19" s="16" t="inlineStr">
        <is>
          <t>Apr 2022 (LoI Feb 2021)</t>
        </is>
      </c>
      <c r="C19" s="16" t="inlineStr">
        <is>
          <t>51% stake, Dadra &amp; Nagar Haveli and Daman &amp; Diu (DNH&amp;DD) Power Distribution Corp Ltd</t>
        </is>
      </c>
      <c r="D19" s="16" t="inlineStr">
        <is>
          <t>~555 (bid)</t>
        </is>
      </c>
      <c r="E19" s="16" t="inlineStr">
        <is>
          <t>Completed (after litigation delay)</t>
        </is>
      </c>
      <c r="F19" s="16" t="inlineStr">
        <is>
          <t>PPP discom privatization</t>
        </is>
      </c>
      <c r="G19" s="16" t="inlineStr">
        <is>
          <t>Distribution electricity-purchase volume +63.2% YoY in FY23 (30,037 MU vs 18,405 MU) — a major driver of the FY23 revenue jump to ₹26,076 cr.</t>
        </is>
      </c>
    </row>
    <row r="20" ht="45" customHeight="1">
      <c r="A20" s="16" t="inlineStr">
        <is>
          <t>Torrent Power</t>
        </is>
      </c>
      <c r="B20" s="16" t="inlineStr">
        <is>
          <t>Jul 2022</t>
        </is>
      </c>
      <c r="C20" s="16" t="inlineStr">
        <is>
          <t>Wind Two Renergy — 100% stake</t>
        </is>
      </c>
      <c r="D20" s="16" t="inlineStr">
        <is>
          <t>~4.1 (US$ mn, i.e. ~₹34 cr)</t>
        </is>
      </c>
      <c r="E20" s="16" t="inlineStr">
        <is>
          <t>Completed</t>
        </is>
      </c>
      <c r="F20" s="16" t="inlineStr">
        <is>
          <t>M&amp;A</t>
        </is>
      </c>
      <c r="G20" s="16" t="inlineStr">
        <is>
          <t>Adds wind capacity; no standalone P&amp;L disclosed.</t>
        </is>
      </c>
    </row>
    <row r="21" ht="45" customHeight="1">
      <c r="A21" s="16" t="inlineStr">
        <is>
          <t>Torrent Power</t>
        </is>
      </c>
      <c r="B21" s="16" t="inlineStr">
        <is>
          <t>~2022-23</t>
        </is>
      </c>
      <c r="C21" s="16" t="inlineStr">
        <is>
          <t>Visual Percept Solar Projects (25 MW solar, Gujarat)</t>
        </is>
      </c>
      <c r="D21" s="16" t="inlineStr">
        <is>
          <t>163</t>
        </is>
      </c>
      <c r="E21" s="16" t="inlineStr">
        <is>
          <t>Completed</t>
        </is>
      </c>
      <c r="F21" s="16" t="inlineStr">
        <is>
          <t>M&amp;A</t>
        </is>
      </c>
      <c r="G21" s="16" t="inlineStr">
        <is>
          <t>25-year PPA signed; incremental to solar segment.</t>
        </is>
      </c>
    </row>
    <row r="22" ht="45" customHeight="1">
      <c r="A22" s="16" t="inlineStr">
        <is>
          <t>Torrent Power</t>
        </is>
      </c>
      <c r="B22" s="16" t="inlineStr">
        <is>
          <t>Jun 2026 (SPA Feb 2026)</t>
        </is>
      </c>
      <c r="C22" s="16" t="inlineStr">
        <is>
          <t>Nabha Power Ltd — 100% (2x700 MW coal, Punjab), from L&amp;T Power Development</t>
        </is>
      </c>
      <c r="D22" s="16" t="inlineStr">
        <is>
          <t>~3,632-3,661</t>
        </is>
      </c>
      <c r="E22" s="16" t="inlineStr">
        <is>
          <t>Completed</t>
        </is>
      </c>
      <c r="F22" s="16" t="inlineStr">
        <is>
          <t>M&amp;A</t>
        </is>
      </c>
      <c r="G22" s="16" t="inlineStr">
        <is>
          <t>Lifts total generation capacity from ~5 GW to ~6.4 GW; stock rose ~39% in Apr 2026 partly on this news (pre-completion announcement effect).</t>
        </is>
      </c>
    </row>
    <row r="24">
      <c r="A24" s="9" t="inlineStr">
        <is>
          <t>Comments</t>
        </is>
      </c>
    </row>
    <row r="25" ht="100" customHeight="1">
      <c r="A25" s="14" t="inlineStr">
        <is>
          <t>All three companies have grown primarily through IBC/CIRP-route or PPP-route acquisitions rather than open-market M&amp;A, reflecting the sector's history of stressed/under-construction assets (Adani Power, Tata Power distribution) and government discom-privatization programmes (Tata Power's Odisha discoms, Torrent Power's DNH&amp;DD). Adani Power has been the most acquisitive by deal count and value (five completed + two pending IBC deals since 2022, plus a 24% stake in Jaiprakash Power via a ~₹14,535 cr resolution plan), consistent with its capacity nearly doubling since FY22. None of the three companies publicly disclose acquisition-specific post-deal P&amp;L/cash-flow attribution — this had to be inferred qualitatively from capacity growth and management commentary; a precise before/after contribution analysis would require the acquired entities' standalone financial statements (available via MCA/ROC filings) cross-referenced against the parent's segment note.</t>
        </is>
      </c>
    </row>
    <row r="26"/>
    <row r="27"/>
    <row r="28"/>
    <row r="29"/>
    <row r="30"/>
    <row r="31"/>
  </sheetData>
  <mergeCells count="3">
    <mergeCell ref="A25:G31"/>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1"/>
  <sheetViews>
    <sheetView workbookViewId="0">
      <pane ySplit="5" topLeftCell="A6" activePane="bottomLeft" state="frozen"/>
      <selection pane="bottomLeft" activeCell="A1" sqref="A1"/>
    </sheetView>
  </sheetViews>
  <sheetFormatPr baseColWidth="8" defaultRowHeight="15"/>
  <cols>
    <col width="30" customWidth="1" min="1" max="1"/>
    <col width="20" customWidth="1" min="2" max="2"/>
    <col width="20" customWidth="1" min="3" max="3"/>
    <col width="20" customWidth="1" min="4" max="4"/>
    <col width="50" customWidth="1" min="5" max="5"/>
  </cols>
  <sheetData>
    <row r="1" ht="24" customHeight="1">
      <c r="A1" s="7" t="inlineStr">
        <is>
          <t>5. Shareholding Pattern</t>
        </is>
      </c>
    </row>
    <row r="2">
      <c r="A2" s="8" t="inlineStr">
        <is>
          <t>As at 31-Mar-2026 for Adani Power/Tata Power/Torrent Power — VERIFIED from each company's FY25-26 Annual Report. Major shareholder = &gt;5% of equity.</t>
        </is>
      </c>
    </row>
    <row r="3" ht="6" customHeight="1"/>
    <row r="5">
      <c r="A5" s="10" t="inlineStr">
        <is>
          <t>Metric</t>
        </is>
      </c>
      <c r="B5" s="10" t="inlineStr">
        <is>
          <t>Adani Power</t>
        </is>
      </c>
      <c r="C5" s="10" t="inlineStr">
        <is>
          <t>Tata Power</t>
        </is>
      </c>
      <c r="D5" s="10" t="inlineStr">
        <is>
          <t>Torrent Power</t>
        </is>
      </c>
      <c r="E5" s="10" t="inlineStr">
        <is>
          <t>Notes</t>
        </is>
      </c>
    </row>
    <row r="6" ht="55" customHeight="1">
      <c r="A6" s="16" t="inlineStr">
        <is>
          <t>Promoter holding (%)</t>
        </is>
      </c>
      <c r="B6" s="16" t="inlineStr">
        <is>
          <t>74.96% (Promoter &amp; Promoter Group, per FY26 Annual Report shareholding table)</t>
        </is>
      </c>
      <c r="C6" s="16" t="inlineStr">
        <is>
          <t>46.86% total promoter group; Tata Sons Pvt Ltd alone = 45.21% (per FY26 Annual Report)</t>
        </is>
      </c>
      <c r="D6" s="16" t="inlineStr">
        <is>
          <t>51.09% — Torrent Investments Ltd (formerly Torrent Investments Pvt Ltd), unchanged FY25→FY26 (per FY26 Annual Report)</t>
        </is>
      </c>
      <c r="E6" s="16" t="inlineStr">
        <is>
          <t>VERIFIED from FY25-26 Annual Reports (uploaded).</t>
        </is>
      </c>
    </row>
    <row r="7" ht="55" customHeight="1">
      <c r="A7" s="16" t="inlineStr">
        <is>
          <t>Promoter pledge</t>
        </is>
      </c>
      <c r="B7" s="16" t="inlineStr">
        <is>
          <t>No pledge of promoter shares disclosed in the FY26 Annual Report (only routine subsidiary-loan security pledges by the Company, unrelated to promoter shareholding).</t>
        </is>
      </c>
      <c r="C7" s="16" t="inlineStr">
        <is>
          <t>'Company has not raised loans during the year on the pledge of securities held in its subsidiaries, joint ventures...' — no promoter share pledge disclosed.</t>
        </is>
      </c>
      <c r="D7" s="16" t="inlineStr">
        <is>
          <t>No pledge of promoter shares disclosed in the FY26 Annual Report.</t>
        </is>
      </c>
      <c r="E7" s="16" t="inlineStr">
        <is>
          <t>VERIFIED (nil promoter pledge) from FY25-26 Annual Reports for all three.</t>
        </is>
      </c>
    </row>
    <row r="8" ht="55" customHeight="1">
      <c r="A8" s="16" t="inlineStr">
        <is>
          <t>FII / FPI holding (%)</t>
        </is>
      </c>
      <c r="B8" s="16" t="inlineStr">
        <is>
          <t>11.74% (secondary-source snapshot; not separately re-verified in the Annual Report text extract)</t>
        </is>
      </c>
      <c r="C8" s="16" t="inlineStr">
        <is>
          <t>~10.0-10.04% (secondary-source snapshot)</t>
        </is>
      </c>
      <c r="D8" s="20" t="inlineStr">
        <is>
          <t>8.4%-14.2% (conflicting across sources/dates)</t>
        </is>
      </c>
      <c r="E8" s="16" t="inlineStr">
        <is>
          <t>Category-wise FII/DII % not captured from the Annual Report's shareholding table in this pass — cross-check the full SHP table in each PDF if needed.</t>
        </is>
      </c>
    </row>
    <row r="9" ht="55" customHeight="1">
      <c r="A9" s="16" t="inlineStr">
        <is>
          <t>DII / Mutual Fund holding (%)</t>
        </is>
      </c>
      <c r="B9" s="16" t="inlineStr">
        <is>
          <t>3.69% (DII, secondary-source snapshot)</t>
        </is>
      </c>
      <c r="C9" s="16" t="inlineStr">
        <is>
          <t>8.64% (DII, one source) vs 18.28% (DII, another) — MFs alone ~8.89-9.63%</t>
        </is>
      </c>
      <c r="D9" s="16" t="inlineStr">
        <is>
          <t>SBI Mutual Fund confirmed at 8.57% (FY26, up from 7.95% FY25) — VERIFIED from Annual Report top-10-shareholders table.</t>
        </is>
      </c>
      <c r="E9" s="16" t="inlineStr">
        <is>
          <t>6-month change for SBI MF in Torrent Power (7.95%→8.57%) is now VERIFIED; other DII figures remain secondary-source.</t>
        </is>
      </c>
    </row>
    <row r="10" ht="55" customHeight="1">
      <c r="A10" s="16" t="inlineStr">
        <is>
          <t>Public / Retail (%)</t>
        </is>
      </c>
      <c r="B10" s="16" t="inlineStr">
        <is>
          <t>9.62% (secondary-source snapshot)</t>
        </is>
      </c>
      <c r="C10" s="16" t="inlineStr">
        <is>
          <t>~21.5-25.6% (free float, incl. FII+DII+public)</t>
        </is>
      </c>
      <c r="D10" s="20" t="inlineStr">
        <is>
          <t>~9.3-17.68% (conflicting by source/date)</t>
        </is>
      </c>
      <c r="E10" s="16" t="inlineStr"/>
    </row>
    <row r="11" ht="55" customHeight="1">
      <c r="A11" s="16" t="inlineStr">
        <is>
          <t>Free float (100% - promoter%)</t>
        </is>
      </c>
      <c r="B11" s="16" t="inlineStr">
        <is>
          <t>~25.04%</t>
        </is>
      </c>
      <c r="C11" s="16" t="inlineStr">
        <is>
          <t>~53.14%</t>
        </is>
      </c>
      <c r="D11" s="16" t="inlineStr">
        <is>
          <t>~48.91%</t>
        </is>
      </c>
      <c r="E11" s="16" t="inlineStr">
        <is>
          <t>Approx.; = 100% - promoter%.</t>
        </is>
      </c>
    </row>
    <row r="12" ht="55" customHeight="1">
      <c r="A12" s="16" t="inlineStr">
        <is>
          <t>Named shareholder(s) holding &gt;5%</t>
        </is>
      </c>
      <c r="B12" s="16" t="inlineStr">
        <is>
          <t>NONE currently &gt;5% besides promoter group — GQG Partners (Goldman Sachs Trust II - Goldman Sachs GQG Partner) now holds only 3.30% as of FY26 (down from ~7.7-8.1% in 2023), per the FY26 Annual Report's top-10-shareholders table. No other non-promoter holder exceeds 5%.</t>
        </is>
      </c>
      <c r="C12" s="16" t="inlineStr">
        <is>
          <t>Life Insurance Corporation of India (LIC) — 5.18% as at 31-Mar-2026 (up from 2.96% at 31-Mar-2025), crossing the 5% threshold during FY26 — VERIFIED from the FY26 Annual Report's 'shareholders holding more than 5%' table.</t>
        </is>
      </c>
      <c r="D12" s="16" t="inlineStr">
        <is>
          <t>Gujarat Urja Vikas Nigam Ltd (GUVNL, Gujarat's state power utility) — 6.95%, unchanged FY25→FY26 — VERIFIED from the FY26 Annual Report's top-10-shareholders table. (Earlier flagged 'Aditya Birla Group ~6.34%' claim was NOT found in the primary source and should be disregarded.)</t>
        </is>
      </c>
      <c r="E12" s="16" t="inlineStr">
        <is>
          <t>All three figures in this row are now VERIFIED from primary Annual Reports, replacing prior unconfirmed secondary-source claims.</t>
        </is>
      </c>
    </row>
    <row r="14">
      <c r="A14" s="9" t="inlineStr">
        <is>
          <t>Comments</t>
        </is>
      </c>
    </row>
    <row r="15" ht="100" customHeight="1">
      <c r="A15" s="14" t="inlineStr">
        <is>
          <t>Adani Power has by far the highest promoter concentration (~75%) of the three, leaving the smallest free float (~25%) — typical of Adani Group listed entities, and a legacy of tightened promoter control after the 2023 Hindenburg-report episode (with an emphasis on 'zero pledge' messaging across group companies since). Tata Power's promoter stake (Tata Sons, ~47%) is the lowest of the three, giving it the widest institutional/public float and closest to the SEBI minimum public shareholding norms. Torrent Power sits in between (~51% promoter). Shareholding figures pulled from secondary aggregators showed real inconsistencies across sources/dates for FII/DII splits at all three companies — before using these in the final submission, pull ONE consistent-quarter shareholding-pattern XBRL filing per company directly from BSE/NSE (each company files this quarterly) rather than mixing snapshots from different dates.</t>
        </is>
      </c>
    </row>
    <row r="16"/>
    <row r="17"/>
    <row r="18"/>
    <row r="19"/>
    <row r="20"/>
    <row r="21"/>
  </sheetData>
  <mergeCells count="3">
    <mergeCell ref="A2:E2"/>
    <mergeCell ref="A1:E1"/>
    <mergeCell ref="A15:E2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47"/>
  <sheetViews>
    <sheetView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42" customWidth="1" min="1" max="1"/>
    <col width="12" customWidth="1" min="2" max="2"/>
    <col width="12" customWidth="1" min="3" max="3"/>
    <col width="12" customWidth="1" min="4" max="4"/>
    <col width="12" customWidth="1" min="5" max="5"/>
    <col width="12" customWidth="1" min="6" max="6"/>
    <col width="12" customWidth="1" min="7" max="7"/>
    <col width="12" customWidth="1" min="8" max="8"/>
  </cols>
  <sheetData>
    <row r="1" ht="24" customHeight="1">
      <c r="A1" s="7" t="inlineStr">
        <is>
          <t>6. Reportable Business Segments (Ind AS 108) — VERIFIED from Annual Reports</t>
        </is>
      </c>
    </row>
    <row r="2">
      <c r="A2" s="8" t="inlineStr">
        <is>
          <t>₹ crore, consolidated, FY22-FY26. Extracted directly from the 'Segment Reporting' notes of each company's audited Annual Reports.</t>
        </is>
      </c>
    </row>
    <row r="3" ht="6" customHeight="1"/>
    <row r="5">
      <c r="A5" s="9" t="inlineStr">
        <is>
          <t>ADANI POWER — 2 segments: 'Power Generation &amp; related activities' + 'Trading, Investment &amp; other activities'</t>
        </is>
      </c>
    </row>
    <row r="6">
      <c r="A6" s="10" t="inlineStr">
        <is>
          <t>Particulars</t>
        </is>
      </c>
      <c r="B6" s="10" t="inlineStr">
        <is>
          <t>FY22</t>
        </is>
      </c>
      <c r="C6" s="10" t="inlineStr">
        <is>
          <t>FY23</t>
        </is>
      </c>
      <c r="D6" s="10" t="inlineStr">
        <is>
          <t>FY24</t>
        </is>
      </c>
      <c r="E6" s="10" t="inlineStr">
        <is>
          <t>FY25</t>
        </is>
      </c>
      <c r="F6" s="10" t="inlineStr">
        <is>
          <t>FY26</t>
        </is>
      </c>
    </row>
    <row r="7">
      <c r="A7" s="15" t="inlineStr">
        <is>
          <t>Segment Revenue — Power Generation</t>
        </is>
      </c>
      <c r="B7" s="11" t="n">
        <v>27221.78</v>
      </c>
      <c r="C7" s="11" t="n">
        <v>37895.85</v>
      </c>
      <c r="D7" s="11" t="n">
        <v>50014.16</v>
      </c>
      <c r="E7" s="11" t="n">
        <v>56107.06</v>
      </c>
      <c r="F7" s="11" t="n">
        <v>54240.52</v>
      </c>
    </row>
    <row r="8">
      <c r="A8" s="15" t="inlineStr">
        <is>
          <t>Segment Revenue — Trading/Investment/Other</t>
        </is>
      </c>
      <c r="B8" s="11" t="n">
        <v>489.4</v>
      </c>
      <c r="C8" s="11" t="n">
        <v>877.45</v>
      </c>
      <c r="D8" s="11" t="n">
        <v>337.09</v>
      </c>
      <c r="E8" s="11" t="n">
        <v>96.03</v>
      </c>
      <c r="F8" s="11" t="n">
        <v>0</v>
      </c>
    </row>
    <row r="9">
      <c r="A9" s="15" t="inlineStr">
        <is>
          <t>Segment Results — Power Generation</t>
        </is>
      </c>
      <c r="B9" s="11" t="n">
        <v>6571.37</v>
      </c>
      <c r="C9" s="11" t="n">
        <v>6957.13</v>
      </c>
      <c r="D9" s="11" t="n">
        <v>20557.22</v>
      </c>
      <c r="E9" s="11" t="n">
        <v>16540.39</v>
      </c>
      <c r="F9" s="11" t="n">
        <v>15757.55</v>
      </c>
    </row>
    <row r="10">
      <c r="A10" s="15" t="inlineStr">
        <is>
          <t>Segment Results — Trading/Investment/Other</t>
        </is>
      </c>
      <c r="B10" s="11" t="n">
        <v>5.76</v>
      </c>
      <c r="C10" s="11" t="n">
        <v>717.5700000000001</v>
      </c>
      <c r="D10" s="11" t="n">
        <v>234.29</v>
      </c>
      <c r="E10" s="11" t="n">
        <v>-1.81</v>
      </c>
      <c r="F10" s="11" t="n">
        <v>13.68</v>
      </c>
    </row>
    <row r="11">
      <c r="A11" s="15" t="inlineStr">
        <is>
          <t>Segment Assets — Power Generation</t>
        </is>
      </c>
      <c r="B11" s="11" t="n">
        <v>81888.09</v>
      </c>
      <c r="C11" s="11" t="n">
        <v>84364.22</v>
      </c>
      <c r="D11" s="11" t="n">
        <v>91378.85000000001</v>
      </c>
      <c r="E11" s="11" t="n">
        <v>111162.48</v>
      </c>
      <c r="F11" s="11" t="n">
        <v>139777.31</v>
      </c>
    </row>
    <row r="12">
      <c r="A12" s="15" t="inlineStr">
        <is>
          <t>Segment Assets — Trading/Investment/Other</t>
        </is>
      </c>
      <c r="B12" s="11" t="n">
        <v>42.02</v>
      </c>
      <c r="C12" s="11" t="n">
        <v>1134.26</v>
      </c>
      <c r="D12" s="11" t="n">
        <v>203.86</v>
      </c>
      <c r="E12" s="11" t="n">
        <v>1328.18</v>
      </c>
      <c r="F12" s="11" t="n">
        <v>1354.52</v>
      </c>
    </row>
    <row r="13" ht="40" customHeight="1">
      <c r="A13" s="12" t="inlineStr">
        <is>
          <t>FY22-23 results are as restated in the FY23 report after a CODM methodology change. FY26 Trading revenue was nil; segment results shown are pre-tax basis per each year's note.</t>
        </is>
      </c>
    </row>
    <row r="15">
      <c r="A15" s="9" t="inlineStr">
        <is>
          <t>TATA POWER — 4 segments: Generation (Thermal &amp; Hydro), Renewables, Transmission &amp; Distribution, Others</t>
        </is>
      </c>
    </row>
    <row r="16">
      <c r="A16" s="10" t="inlineStr">
        <is>
          <t>Particulars</t>
        </is>
      </c>
      <c r="B16" s="10" t="inlineStr">
        <is>
          <t>FY22</t>
        </is>
      </c>
      <c r="C16" s="10" t="inlineStr">
        <is>
          <t>FY23</t>
        </is>
      </c>
      <c r="D16" s="10" t="inlineStr">
        <is>
          <t>FY24</t>
        </is>
      </c>
      <c r="E16" s="10" t="inlineStr">
        <is>
          <t>FY25</t>
        </is>
      </c>
      <c r="F16" s="10" t="inlineStr">
        <is>
          <t>FY26</t>
        </is>
      </c>
    </row>
    <row r="17">
      <c r="A17" s="15" t="inlineStr">
        <is>
          <t>Segment Revenue — Generation/Thermal &amp; Hydro</t>
        </is>
      </c>
      <c r="B17" s="11" t="n">
        <v>11211.03</v>
      </c>
      <c r="C17" s="11" t="n">
        <v>18211.35</v>
      </c>
      <c r="D17" s="11" t="n">
        <v>19613.61</v>
      </c>
      <c r="E17" s="11" t="n">
        <v>19739.07</v>
      </c>
      <c r="F17" s="11" t="n">
        <v>11635.93</v>
      </c>
    </row>
    <row r="18">
      <c r="A18" s="15" t="inlineStr">
        <is>
          <t>Segment Revenue — Renewables</t>
        </is>
      </c>
      <c r="B18" s="11" t="n">
        <v>7748.9</v>
      </c>
      <c r="C18" s="11" t="n">
        <v>8196.91</v>
      </c>
      <c r="D18" s="11" t="n">
        <v>10175.29</v>
      </c>
      <c r="E18" s="11" t="n">
        <v>9876.360000000001</v>
      </c>
      <c r="F18" s="11" t="n">
        <v>15027.82</v>
      </c>
    </row>
    <row r="19">
      <c r="A19" s="15" t="inlineStr">
        <is>
          <t>Segment Revenue — Transmission &amp; Distribution</t>
        </is>
      </c>
      <c r="B19" s="11" t="n">
        <v>27493.17</v>
      </c>
      <c r="C19" s="11" t="n">
        <v>34529.36</v>
      </c>
      <c r="D19" s="11" t="n">
        <v>36205.82</v>
      </c>
      <c r="E19" s="11" t="n">
        <v>39120.52</v>
      </c>
      <c r="F19" s="11" t="n">
        <v>41338.59</v>
      </c>
    </row>
    <row r="20">
      <c r="A20" s="15" t="inlineStr">
        <is>
          <t>Segment Revenue — Others</t>
        </is>
      </c>
      <c r="B20" s="11" t="n">
        <v>317.8</v>
      </c>
      <c r="C20" s="11" t="n">
        <v>413.56</v>
      </c>
      <c r="D20" s="11" t="n">
        <v>430.62</v>
      </c>
      <c r="E20" s="11" t="n">
        <v>431.04</v>
      </c>
      <c r="F20" s="11" t="n">
        <v>431.79</v>
      </c>
    </row>
    <row r="21">
      <c r="A21" s="15" t="inlineStr">
        <is>
          <t>Segment Results — Generation/Thermal &amp; Hydro</t>
        </is>
      </c>
      <c r="B21" s="11" t="n">
        <v>2632.75</v>
      </c>
      <c r="C21" s="11" t="n">
        <v>5092.16</v>
      </c>
      <c r="D21" s="11" t="n">
        <v>2569.61</v>
      </c>
      <c r="E21" s="11" t="n">
        <v>2878.91</v>
      </c>
      <c r="F21" s="11" t="n">
        <v>1137.94</v>
      </c>
    </row>
    <row r="22">
      <c r="A22" s="15" t="inlineStr">
        <is>
          <t>Segment Results — Renewables</t>
        </is>
      </c>
      <c r="B22" s="11" t="n">
        <v>1923.57</v>
      </c>
      <c r="C22" s="11" t="n">
        <v>1932.01</v>
      </c>
      <c r="D22" s="11" t="n">
        <v>2147.1</v>
      </c>
      <c r="E22" s="11" t="n">
        <v>2880.68</v>
      </c>
      <c r="F22" s="11" t="n">
        <v>4340.93</v>
      </c>
    </row>
    <row r="23">
      <c r="A23" s="15" t="inlineStr">
        <is>
          <t>Segment Results — Transmission &amp; Distribution</t>
        </is>
      </c>
      <c r="B23" s="11" t="n">
        <v>2138.49</v>
      </c>
      <c r="C23" s="11" t="n">
        <v>2197.68</v>
      </c>
      <c r="D23" s="11" t="n">
        <v>2418.22</v>
      </c>
      <c r="E23" s="11" t="n">
        <v>3128.27</v>
      </c>
      <c r="F23" s="11" t="n">
        <v>4307.95</v>
      </c>
    </row>
    <row r="24">
      <c r="A24" s="15" t="inlineStr">
        <is>
          <t>Segment Results — Others</t>
        </is>
      </c>
      <c r="B24" s="11" t="n">
        <v>-286.03</v>
      </c>
      <c r="C24" s="11" t="n">
        <v>-308.17</v>
      </c>
      <c r="D24" s="11" t="n">
        <v>105.38</v>
      </c>
      <c r="E24" s="11" t="n">
        <v>112.8</v>
      </c>
      <c r="F24" s="11" t="n">
        <v>104.72</v>
      </c>
    </row>
    <row r="25">
      <c r="A25" s="15" t="inlineStr">
        <is>
          <t>Segment Assets — Generation/Thermal &amp; Hydro</t>
        </is>
      </c>
      <c r="B25" s="11" t="n">
        <v>38201.93</v>
      </c>
      <c r="C25" s="11" t="n">
        <v>41201.04</v>
      </c>
      <c r="D25" s="11" t="n">
        <v>39315.88</v>
      </c>
      <c r="E25" s="11" t="n">
        <v>39708.11</v>
      </c>
      <c r="F25" s="11" t="n">
        <v>41697.31</v>
      </c>
    </row>
    <row r="26">
      <c r="A26" s="15" t="inlineStr">
        <is>
          <t>Segment Assets — Renewables</t>
        </is>
      </c>
      <c r="B26" s="11" t="n">
        <v>27589.28</v>
      </c>
      <c r="C26" s="11" t="n">
        <v>29744.49</v>
      </c>
      <c r="D26" s="11" t="n">
        <v>40459.25</v>
      </c>
      <c r="E26" s="11" t="n">
        <v>51355.61</v>
      </c>
      <c r="F26" s="11" t="n">
        <v>56921.28</v>
      </c>
    </row>
    <row r="27">
      <c r="A27" s="15" t="inlineStr">
        <is>
          <t>Segment Assets — Transmission &amp; Distribution</t>
        </is>
      </c>
      <c r="B27" s="11" t="n">
        <v>32411.34</v>
      </c>
      <c r="C27" s="11" t="n">
        <v>37477.26</v>
      </c>
      <c r="D27" s="11" t="n">
        <v>42059.9</v>
      </c>
      <c r="E27" s="11" t="n">
        <v>45707.75</v>
      </c>
      <c r="F27" s="11" t="n">
        <v>53428.87</v>
      </c>
    </row>
    <row r="28">
      <c r="A28" s="15" t="inlineStr">
        <is>
          <t>Segment Assets — Others + Unallocable</t>
        </is>
      </c>
      <c r="B28" s="11" t="n">
        <v>14682.04</v>
      </c>
      <c r="C28" s="11" t="n">
        <v>19926.25</v>
      </c>
      <c r="D28" s="11" t="n">
        <v>17718.46</v>
      </c>
      <c r="E28" s="11" t="n">
        <v>19939.82</v>
      </c>
      <c r="F28" s="11" t="n">
        <v>23124.32</v>
      </c>
    </row>
    <row r="29" ht="40" customHeight="1">
      <c r="A29" s="12" t="inlineStr">
        <is>
          <t>Revenue shown gross (before inter-segment eliminations of ~₹4,000-5,400cr/yr, mostly Generation→T&amp;D coal/power sales). 'Generation' was renamed 'Thermal &amp; Hydro' from the FY25 report. FY23 Generation result of ₹5,092cr was later restated in the FY24 report to ₹1,528cr segment result + ₹3,564cr exceptional; the as-originally-reported figure is shown here. FY26 Thermal &amp; Hydro result derived as total-minus-other-segments (₹9,891.54cr total). FY26 revenue drop in Thermal &amp; Hydro reflects the Mundra shutdown; Renewables surged on new capacity.</t>
        </is>
      </c>
    </row>
    <row r="31">
      <c r="A31" s="9" t="inlineStr">
        <is>
          <t>TORRENT POWER — NO reportable segments under Ind AS 108</t>
        </is>
      </c>
    </row>
    <row r="32" ht="95" customHeight="1">
      <c r="A32" s="14" t="inlineStr">
        <is>
          <t>Per Note 53/54 ('Operating Segments') of Torrent Power's FY23 Annual Report (and equivalent notes in other years): "the Group does not have any reportable segment as per Ind AS-108 'Operating Segments'" — the CODM manages Generation, Transmission and Distribution as ONE integrated electricity business, and the cable business is immaterial (below reportable thresholds for revenue, profit and assets). This is an important verified correction: earlier drafts of this sheet assumed 3 reportable segments (Generation/Transmission/Distribution) from the MD&amp;A's business description — the MD&amp;A discusses those businesses operationally, but the statutory segment note reports a single segment. Any segment-level financial comparison for Torrent must therefore rely on MD&amp;A operating metrics (e.g., FY23 distribution electricity purchases +63.2% YoY to 30,037 MU after the DNH&amp;DD takeover), not audited segment P&amp;L data, because none is published.</t>
        </is>
      </c>
    </row>
    <row r="33"/>
    <row r="34"/>
    <row r="35"/>
    <row r="36"/>
    <row r="38">
      <c r="A38" s="9" t="inlineStr">
        <is>
          <t>Comparative analysis — who is doing well in which segment?</t>
        </is>
      </c>
    </row>
    <row r="39" ht="150" customHeight="1">
      <c r="A39" s="14" t="inlineStr">
        <is>
          <t>GENERATION is the only segment where all three effectively compete, and the verified numbers show a stark contrast: Adani Power's generation segment grew revenue ~2.0x (₹27,222cr FY22 → ₹54,241cr FY26) with segment results of ₹15,758-20,557cr in FY24-26 — vastly more profitable than Tata Power's generation segment (results of only ₹1,138-2,879cr on ₹11,636-19,739cr revenue in the same years, dragged by the Mundra plant's fuel economics and eventual shutdown). Adani is unambiguously the generation winner. RENEWABLES: only Tata Power reports it separately, and it is now their growth engine — revenue up ~1.9x (₹7,749cr FY22 → ₹15,028cr FY26), results up 2.3x (₹1,924cr → ₹4,341cr), and segment assets up 2.1x to ₹56,921cr, overtaking every other Tata segment. Adani Power has no renewables segment (that sits in sister company Adani Green). TRANSMISSION &amp; DISTRIBUTION: Tata Power's largest and steadiest segment — revenue grew ₹27,493cr → ₹41,339cr (FY22→FY26, boosted by the Odisha discoms) with consistently positive, regulated-return results (₹2,138cr → ₹4,308cr). Torrent's distribution business is economically similar (regulated, stable) but not separately reported. INDUSTRY CONTEXT: India's power demand grew ~7-8%/yr (CEA) over this period — Adani's generation growth (~13% CAGR) and Tata's renewables growth (~21% CAGR) both outpaced the sector, largely through acquisitions and capacity build-out respectively, while Tata's generation segment underperformed the sector.</t>
        </is>
      </c>
    </row>
    <row r="40"/>
    <row r="41"/>
    <row r="42"/>
    <row r="43"/>
    <row r="44"/>
    <row r="45"/>
    <row r="46"/>
    <row r="47"/>
  </sheetData>
  <mergeCells count="6">
    <mergeCell ref="A29:H29"/>
    <mergeCell ref="A2:H2"/>
    <mergeCell ref="A39:H47"/>
    <mergeCell ref="A13:H13"/>
    <mergeCell ref="A32:H36"/>
    <mergeCell ref="A1:H1"/>
  </mergeCells>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Year</t>
        </is>
      </c>
      <c r="B1" t="inlineStr">
        <is>
          <t>Tata Generation Rev</t>
        </is>
      </c>
      <c r="C1" t="inlineStr">
        <is>
          <t>Tata Renewables Rev</t>
        </is>
      </c>
      <c r="D1" t="inlineStr">
        <is>
          <t>Tata T&amp;D Rev</t>
        </is>
      </c>
      <c r="E1" t="inlineStr">
        <is>
          <t>Adani Generation Rev</t>
        </is>
      </c>
    </row>
    <row r="2">
      <c r="A2" t="inlineStr">
        <is>
          <t>FY22</t>
        </is>
      </c>
      <c r="B2" t="n">
        <v>11211.03</v>
      </c>
      <c r="C2" t="n">
        <v>7748.9</v>
      </c>
      <c r="D2" t="n">
        <v>27493.17</v>
      </c>
      <c r="E2" t="n">
        <v>27221.78</v>
      </c>
    </row>
    <row r="3">
      <c r="A3" t="inlineStr">
        <is>
          <t>FY23</t>
        </is>
      </c>
      <c r="B3" t="n">
        <v>18211.35</v>
      </c>
      <c r="C3" t="n">
        <v>8196.91</v>
      </c>
      <c r="D3" t="n">
        <v>34529.36</v>
      </c>
      <c r="E3" t="n">
        <v>37895.85</v>
      </c>
    </row>
    <row r="4">
      <c r="A4" t="inlineStr">
        <is>
          <t>FY24</t>
        </is>
      </c>
      <c r="B4" t="n">
        <v>19613.61</v>
      </c>
      <c r="C4" t="n">
        <v>10175.29</v>
      </c>
      <c r="D4" t="n">
        <v>36205.82</v>
      </c>
      <c r="E4" t="n">
        <v>50014.16</v>
      </c>
    </row>
    <row r="5">
      <c r="A5" t="inlineStr">
        <is>
          <t>FY25</t>
        </is>
      </c>
      <c r="B5" t="n">
        <v>19739.07</v>
      </c>
      <c r="C5" t="n">
        <v>9876.360000000001</v>
      </c>
      <c r="D5" t="n">
        <v>39120.52</v>
      </c>
      <c r="E5" t="n">
        <v>56107.06</v>
      </c>
    </row>
    <row r="6">
      <c r="A6" t="inlineStr">
        <is>
          <t>FY26</t>
        </is>
      </c>
      <c r="B6" t="n">
        <v>11635.93</v>
      </c>
      <c r="C6" t="n">
        <v>15027.82</v>
      </c>
      <c r="D6" t="n">
        <v>41338.59</v>
      </c>
      <c r="E6" t="n">
        <v>54240.52</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30"/>
  <sheetViews>
    <sheetView workbookViewId="0">
      <pane ySplit="5" topLeftCell="A6" activePane="bottomLeft" state="frozen"/>
      <selection pane="bottomLeft" activeCell="A1" sqref="A1"/>
    </sheetView>
  </sheetViews>
  <sheetFormatPr baseColWidth="8" defaultRowHeight="15"/>
  <cols>
    <col width="16" customWidth="1" min="1" max="1"/>
    <col width="30" customWidth="1" min="2" max="2"/>
    <col width="14" customWidth="1" min="3" max="3"/>
    <col width="50" customWidth="1" min="4" max="4"/>
  </cols>
  <sheetData>
    <row r="1" ht="24" customHeight="1">
      <c r="A1" s="7" t="inlineStr">
        <is>
          <t>7. Group Structure — Subsidiaries</t>
        </is>
      </c>
    </row>
    <row r="2">
      <c r="A2" s="8" t="inlineStr">
        <is>
          <t>Key subsidiaries and % holding, with one-line business description.</t>
        </is>
      </c>
    </row>
    <row r="3" ht="6" customHeight="1"/>
    <row r="5">
      <c r="A5" s="10" t="inlineStr">
        <is>
          <t>Company</t>
        </is>
      </c>
      <c r="B5" s="10" t="inlineStr">
        <is>
          <t>Subsidiary</t>
        </is>
      </c>
      <c r="C5" s="10" t="inlineStr">
        <is>
          <t>% Holding</t>
        </is>
      </c>
      <c r="D5" s="10" t="inlineStr">
        <is>
          <t>Business Description</t>
        </is>
      </c>
    </row>
    <row r="6" ht="45" customHeight="1">
      <c r="A6" s="16" t="inlineStr">
        <is>
          <t>Adani Power</t>
        </is>
      </c>
      <c r="B6" s="16" t="inlineStr">
        <is>
          <t>Mahan Energen Ltd (MEL)</t>
        </is>
      </c>
      <c r="C6" s="16" t="inlineStr">
        <is>
          <t>94% (per FY26 AOC-1 — earlier reported as 100%)</t>
        </is>
      </c>
      <c r="D6" s="16" t="inlineStr">
        <is>
          <t>1,200+ MW coal thermal, MP; ex-Essar Power MP (CIRP, Mar 2022). FY26: turnover ₹3,614cr, PAT ₹784cr.</t>
        </is>
      </c>
    </row>
    <row r="7" ht="45" customHeight="1">
      <c r="A7" s="16" t="inlineStr">
        <is>
          <t>Adani Power</t>
        </is>
      </c>
      <c r="B7" s="16" t="inlineStr">
        <is>
          <t>Korba Power Ltd (KPL, ex-Lanco Amarkantak)</t>
        </is>
      </c>
      <c r="C7" s="16" t="inlineStr">
        <is>
          <t>100%</t>
        </is>
      </c>
      <c r="D7" s="16" t="inlineStr">
        <is>
          <t>600 MW coal thermal, Chhattisgarh (CIRP, Sep 2024). FY26: turnover ₹1,552cr, PAT ₹354cr.</t>
        </is>
      </c>
    </row>
    <row r="8" ht="45" customHeight="1">
      <c r="A8" s="16" t="inlineStr">
        <is>
          <t>Adani Power</t>
        </is>
      </c>
      <c r="B8" s="16" t="inlineStr">
        <is>
          <t>Moxie Power Generation Ltd (ex-Coastal Energen)</t>
        </is>
      </c>
      <c r="C8" s="16" t="inlineStr">
        <is>
          <t>49% — but consolidated as a SUBSIDIARY in AOC-1 Part A (control basis), not a JV</t>
        </is>
      </c>
      <c r="D8" s="16" t="inlineStr">
        <is>
          <t>1,200 MW, Thoothukudi, Tamil Nadu. FY26: turnover ₹2,985cr, PAT ₹268cr. Listed in AOC-1 subsidiaries despite 49% equity — control established via arrangement with DAIT.</t>
        </is>
      </c>
    </row>
    <row r="9" ht="45" customHeight="1">
      <c r="A9" s="16" t="inlineStr">
        <is>
          <t>Adani Power</t>
        </is>
      </c>
      <c r="B9" s="16" t="inlineStr">
        <is>
          <t>Vidarbha Industries Power Ltd (VIPL)</t>
        </is>
      </c>
      <c r="C9" s="16" t="inlineStr">
        <is>
          <t>100% (acquired 07-Jul-2025)</t>
        </is>
      </c>
      <c r="D9" s="16" t="inlineStr">
        <is>
          <t>600 MW, Nagpur (CIRP). FY26: turnover ₹1,327cr, PAT ₹347cr.</t>
        </is>
      </c>
    </row>
    <row r="10" ht="45" customHeight="1">
      <c r="A10" s="16" t="inlineStr">
        <is>
          <t>Adani Power</t>
        </is>
      </c>
      <c r="B10" s="16" t="inlineStr">
        <is>
          <t>Adani Power Dahej Ltd / Pench Thermal Energy (MP) Ltd / Kutchh Power Generation Ltd</t>
        </is>
      </c>
      <c r="C10" s="16" t="inlineStr">
        <is>
          <t>100% each</t>
        </is>
      </c>
      <c r="D10" s="16" t="inlineStr">
        <is>
          <t>Greenfield thermal project SPVs (Dahej, Pench, Kutchh).</t>
        </is>
      </c>
    </row>
    <row r="11" ht="45" customHeight="1">
      <c r="A11" s="16" t="inlineStr">
        <is>
          <t>Adani Power</t>
        </is>
      </c>
      <c r="B11" s="16" t="inlineStr">
        <is>
          <t>Anuppur Thermal Energy (MP) / Mirzapur Thermal Energy (UP) / Orrisa Thermal Energy</t>
        </is>
      </c>
      <c r="C11" s="16" t="inlineStr">
        <is>
          <t>100% each (acquired/renamed 2024)</t>
        </is>
      </c>
      <c r="D11" s="16" t="inlineStr">
        <is>
          <t>New thermal project SPVs for capacity expansion (Anuppur, Mirzapur, Odisha sites).</t>
        </is>
      </c>
    </row>
    <row r="12" ht="45" customHeight="1">
      <c r="A12" s="16" t="inlineStr">
        <is>
          <t>Adani Power</t>
        </is>
      </c>
      <c r="B12" s="16" t="inlineStr">
        <is>
          <t>Mahan Fuel Management / Resurgent Fuel Management Ltd</t>
        </is>
      </c>
      <c r="C12" s="16" t="inlineStr">
        <is>
          <t>100% each</t>
        </is>
      </c>
      <c r="D12" s="16" t="inlineStr">
        <is>
          <t>Fuel sourcing/management SPVs.</t>
        </is>
      </c>
    </row>
    <row r="13" ht="45" customHeight="1">
      <c r="A13" s="16" t="inlineStr">
        <is>
          <t>Adani Power</t>
        </is>
      </c>
      <c r="B13" s="16" t="inlineStr">
        <is>
          <t>Alcedo / Chandenvalle / Emberiza Infra Park Ltd</t>
        </is>
      </c>
      <c r="C13" s="16" t="inlineStr">
        <is>
          <t>100% each</t>
        </is>
      </c>
      <c r="D13" s="16" t="inlineStr">
        <is>
          <t>Infrastructure park SPVs.</t>
        </is>
      </c>
    </row>
    <row r="14" ht="45" customHeight="1">
      <c r="A14" s="16" t="inlineStr">
        <is>
          <t>Adani Power</t>
        </is>
      </c>
      <c r="B14" s="16" t="inlineStr">
        <is>
          <t>Adani Atomic Energy Ltd (AAEL)</t>
        </is>
      </c>
      <c r="C14" s="16" t="inlineStr">
        <is>
          <t>100% (incorporated 11-Feb-2026)</t>
        </is>
      </c>
      <c r="D14" s="16" t="inlineStr">
        <is>
          <t>Nuclear power entry post SHANTI Act 2025.</t>
        </is>
      </c>
    </row>
    <row r="15" ht="45" customHeight="1">
      <c r="A15" s="16" t="inlineStr">
        <is>
          <t>Adani Power</t>
        </is>
      </c>
      <c r="B15" s="16" t="inlineStr">
        <is>
          <t>Adani Power Middle East Ltd (AED) / Adani Power Global Pte Ltd (US$)</t>
        </is>
      </c>
      <c r="C15" s="16" t="inlineStr">
        <is>
          <t>100% each (incorporated 2024)</t>
        </is>
      </c>
      <c r="D15" s="16" t="inlineStr">
        <is>
          <t>Overseas ventures (Middle East; Singapore trading/holding).</t>
        </is>
      </c>
    </row>
    <row r="16" ht="45" customHeight="1">
      <c r="A16" s="16" t="inlineStr">
        <is>
          <t>Adani Power</t>
        </is>
      </c>
      <c r="B16" s="16" t="inlineStr">
        <is>
          <t>Adani Power Resources Ltd</t>
        </is>
      </c>
      <c r="C16" s="16" t="inlineStr">
        <is>
          <t>51%</t>
        </is>
      </c>
      <c r="D16" s="16" t="inlineStr">
        <is>
          <t>Resource-related SPV (immaterial size).</t>
        </is>
      </c>
    </row>
    <row r="17" ht="45" customHeight="1">
      <c r="A17" s="16" t="inlineStr">
        <is>
          <t>Adani Power</t>
        </is>
      </c>
      <c r="B17" s="16" t="inlineStr">
        <is>
          <t>[TOTAL: 19 entities in FY26 AOC-1 Part A — fully verified]</t>
        </is>
      </c>
      <c r="C17" s="16" t="inlineStr">
        <is>
          <t>—</t>
        </is>
      </c>
      <c r="D17" s="16" t="inlineStr">
        <is>
          <t>The 6 operating cos (Adani Power Maharashtra/Rajasthan, Udupi, Raipur/Raigarh Energen, Adani Power (Mundra)) were amalgamated INTO the parent effective 1-Oct-2021 and no longer appear.</t>
        </is>
      </c>
    </row>
    <row r="18" ht="45" customHeight="1">
      <c r="A18" s="16" t="inlineStr">
        <is>
          <t>Tata Power</t>
        </is>
      </c>
      <c r="B18" s="16" t="inlineStr">
        <is>
          <t>Tata Power Renewable Energy Ltd (TPREL)</t>
        </is>
      </c>
      <c r="C18" s="16" t="inlineStr">
        <is>
          <t>88.57% (per FY26 AOC-1 — VERIFIED; not ~100% as earlier assumed)</t>
        </is>
      </c>
      <c r="D18" s="16" t="inlineStr">
        <is>
          <t>Renewables arm (solar/wind/rooftop/EV charging). FY26: turnover ₹11,748cr, PAT ₹1,268cr. ~11.4% held by BlackRock-led consortium since FY23 equity raise.</t>
        </is>
      </c>
    </row>
    <row r="19" ht="45" customHeight="1">
      <c r="A19" s="16" t="inlineStr">
        <is>
          <t>Tata Power</t>
        </is>
      </c>
      <c r="B19" s="16" t="inlineStr">
        <is>
          <t>Tata Power Delhi Distribution Ltd (Tata Power-DDL)</t>
        </is>
      </c>
      <c r="C19" s="16" t="inlineStr">
        <is>
          <t>51% (VERIFIED per FY26 AOC-1)</t>
        </is>
      </c>
      <c r="D19" s="16" t="inlineStr">
        <is>
          <t>North Delhi discom (JV with Delhi Govt). FY26: turnover ₹10,426cr, PAT ₹1,299cr.</t>
        </is>
      </c>
    </row>
    <row r="20" ht="45" customHeight="1">
      <c r="A20" s="16" t="inlineStr">
        <is>
          <t>Tata Power</t>
        </is>
      </c>
      <c r="B20" s="16" t="inlineStr">
        <is>
          <t>TP Central / Western / Southern / Northern Odisha Distribution Ltds</t>
        </is>
      </c>
      <c r="C20" s="16" t="inlineStr">
        <is>
          <t>51% each (VERIFIED)</t>
        </is>
      </c>
      <c r="D20" s="16" t="inlineStr">
        <is>
          <t>Four Odisha discoms (PPP, 2020-21). FY26 turnover: TPCODL ₹6,313cr, TPWODL ₹6,355cr, TPSODL ₹2,542cr, TPNODL ₹4,769cr; all PAT-positive.</t>
        </is>
      </c>
    </row>
    <row r="21" ht="45" customHeight="1">
      <c r="A21" s="16" t="inlineStr">
        <is>
          <t>Tata Power</t>
        </is>
      </c>
      <c r="B21" s="16" t="inlineStr">
        <is>
          <t>Tata Power Solar Systems Ltd (TPSSL)</t>
        </is>
      </c>
      <c r="C21" s="16" t="inlineStr">
        <is>
          <t>In AOC-1 (100%, via TPREL structure)</t>
        </is>
      </c>
      <c r="D21" s="16" t="inlineStr">
        <is>
          <t>Solar cell/module manufacturing + EPC.</t>
        </is>
      </c>
    </row>
    <row r="22" ht="45" customHeight="1">
      <c r="A22" s="16" t="inlineStr">
        <is>
          <t>Tata Power</t>
        </is>
      </c>
      <c r="B22" s="16" t="inlineStr">
        <is>
          <t>Coastal Gujarat Power Ltd (CGPL) — NOTE</t>
        </is>
      </c>
      <c r="C22" s="16" t="inlineStr">
        <is>
          <t>Merged into parent, 1-Apr-2020</t>
        </is>
      </c>
      <c r="D22" s="16" t="inlineStr">
        <is>
          <t>Mundra UMPP is now a direct Generation-segment asset, not a subsidiary.</t>
        </is>
      </c>
    </row>
    <row r="23" ht="45" customHeight="1">
      <c r="A23" s="16" t="inlineStr">
        <is>
          <t>Tata Power</t>
        </is>
      </c>
      <c r="B23" s="16" t="inlineStr">
        <is>
          <t>[TOTAL: ~113 entities in FY26 AOC-1 Part A]</t>
        </is>
      </c>
      <c r="C23" s="16" t="inlineStr">
        <is>
          <t>—</t>
        </is>
      </c>
      <c r="D23" s="16" t="inlineStr">
        <is>
          <t>Includes dozens of renewable/transmission SPVs under TPREL and Resurgent Power Ventures; full list in FY26 Annual Report pg. 666+ (AOC-1).</t>
        </is>
      </c>
    </row>
    <row r="24" ht="45" customHeight="1">
      <c r="A24" s="16" t="inlineStr">
        <is>
          <t>Torrent Power</t>
        </is>
      </c>
      <c r="B24" s="16" t="inlineStr">
        <is>
          <t>Torrent Power Grid Ltd</t>
        </is>
      </c>
      <c r="C24" s="16" t="inlineStr">
        <is>
          <t>74% (VERIFIED; PowerGrid Corp holds 26%)</t>
        </is>
      </c>
      <c r="D24" s="16" t="inlineStr">
        <is>
          <t>Interstate power transmission JV-structured subsidiary.</t>
        </is>
      </c>
    </row>
    <row r="25" ht="45" customHeight="1">
      <c r="A25" s="16" t="inlineStr">
        <is>
          <t>Torrent Power</t>
        </is>
      </c>
      <c r="B25" s="16" t="inlineStr">
        <is>
          <t>Transmission SPVs (Solapur Transmission Ltd &amp; 4 others at 74%)</t>
        </is>
      </c>
      <c r="C25" s="16" t="inlineStr">
        <is>
          <t>74% each (per FY26 AOC-1)</t>
        </is>
      </c>
      <c r="D25" s="16" t="inlineStr">
        <is>
          <t>Intra/interstate transmission project SPVs.</t>
        </is>
      </c>
    </row>
    <row r="26" ht="45" customHeight="1">
      <c r="A26" s="16" t="inlineStr">
        <is>
          <t>Torrent Power</t>
        </is>
      </c>
      <c r="B26" s="16" t="inlineStr">
        <is>
          <t>Torrent Pipavav Generation Ltd</t>
        </is>
      </c>
      <c r="C26" s="16" t="inlineStr">
        <is>
          <t>95% (VERIFIED)</t>
        </is>
      </c>
      <c r="D26" s="16" t="inlineStr">
        <is>
          <t>Power generation project, Pipavav.</t>
        </is>
      </c>
    </row>
    <row r="27" ht="45" customHeight="1">
      <c r="A27" s="16" t="inlineStr">
        <is>
          <t>Torrent Power</t>
        </is>
      </c>
      <c r="B27" s="16" t="inlineStr">
        <is>
          <t>Dadra &amp; Nagar Haveli and Daman &amp; Diu Power Distribution Corp Ltd</t>
        </is>
      </c>
      <c r="C27" s="16" t="inlineStr">
        <is>
          <t>51% (VERIFIED)</t>
        </is>
      </c>
      <c r="D27" s="16" t="inlineStr">
        <is>
          <t>UT power distribution licensee (acquired Apr 2022).</t>
        </is>
      </c>
    </row>
    <row r="28" ht="45" customHeight="1">
      <c r="A28" s="16" t="inlineStr">
        <is>
          <t>Torrent Power</t>
        </is>
      </c>
      <c r="B28" s="16" t="inlineStr">
        <is>
          <t>Nabha Power Ltd</t>
        </is>
      </c>
      <c r="C28" s="16" t="inlineStr">
        <is>
          <t>100% (acquired Jun 2026)</t>
        </is>
      </c>
      <c r="D28" s="16" t="inlineStr">
        <is>
          <t>2x700 MW supercritical coal plant, Punjab (from L&amp;T).</t>
        </is>
      </c>
    </row>
    <row r="29" ht="45" customHeight="1">
      <c r="A29" s="16" t="inlineStr">
        <is>
          <t>Torrent Power</t>
        </is>
      </c>
      <c r="B29" s="16" t="inlineStr">
        <is>
          <t>Torrent Solargen, Latur Renewable, Surya Vidyut, Torrent Akshay Urja, Jodhpur Wind Farms, MSKVY solar SPVs, Torrent Electricals, Newzone India, etc.</t>
        </is>
      </c>
      <c r="C29" s="16" t="inlineStr">
        <is>
          <t>100% each</t>
        </is>
      </c>
      <c r="D29" s="16" t="inlineStr">
        <is>
          <t>Renewable generation SPVs (solar/wind incl. Maharashtra MSKVY series), cables/electricals, and other ventures.</t>
        </is>
      </c>
    </row>
    <row r="30" ht="45" customHeight="1">
      <c r="A30" s="16" t="inlineStr">
        <is>
          <t>Torrent Power</t>
        </is>
      </c>
      <c r="B30" s="16" t="inlineStr">
        <is>
          <t>[TOTAL: ~60 entities in FY26 AOC-1 — 53 at 100%, 5 at 74%, 1 at 95%, 1 at 51%]</t>
        </is>
      </c>
      <c r="C30" s="16" t="inlineStr">
        <is>
          <t>—</t>
        </is>
      </c>
      <c r="D30" s="16" t="inlineStr">
        <is>
          <t>Verified from the FY26 Annual Report AOC-1 statement.</t>
        </is>
      </c>
    </row>
  </sheetData>
  <mergeCells count="2">
    <mergeCell ref="A1:D1"/>
    <mergeCell ref="A2:D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1"/>
  <sheetViews>
    <sheetView workbookViewId="0">
      <pane ySplit="5" topLeftCell="A6" activePane="bottomLeft" state="frozen"/>
      <selection pane="bottomLeft" activeCell="A1" sqref="A1"/>
    </sheetView>
  </sheetViews>
  <sheetFormatPr baseColWidth="8" defaultRowHeight="15"/>
  <cols>
    <col width="16" customWidth="1" min="1" max="1"/>
    <col width="30" customWidth="1" min="2" max="2"/>
    <col width="14" customWidth="1" min="3" max="3"/>
    <col width="50" customWidth="1" min="4" max="4"/>
  </cols>
  <sheetData>
    <row r="1" ht="24" customHeight="1">
      <c r="A1" s="7" t="inlineStr">
        <is>
          <t>8. Associates &amp; Joint Ventures</t>
        </is>
      </c>
    </row>
    <row r="2">
      <c r="A2" s="8" t="inlineStr"/>
    </row>
    <row r="3" ht="6" customHeight="1"/>
    <row r="5">
      <c r="A5" s="10" t="inlineStr">
        <is>
          <t>Company</t>
        </is>
      </c>
      <c r="B5" s="10" t="inlineStr">
        <is>
          <t>Associate / JV</t>
        </is>
      </c>
      <c r="C5" s="10" t="inlineStr">
        <is>
          <t>Stake</t>
        </is>
      </c>
      <c r="D5" s="10" t="inlineStr">
        <is>
          <t>Notes</t>
        </is>
      </c>
    </row>
    <row r="6" ht="45" customHeight="1">
      <c r="A6" s="16" t="inlineStr">
        <is>
          <t>Adani Power</t>
        </is>
      </c>
      <c r="B6" s="16" t="inlineStr">
        <is>
          <t>Wangchhu Hydroelectric Power Ltd (Bhutan)</t>
        </is>
      </c>
      <c r="C6" s="16" t="inlineStr">
        <is>
          <t>JV (per FY26 AOC-1 Part B — the Group's only listed associate/JV)</t>
        </is>
      </c>
      <c r="D6" s="16" t="inlineStr">
        <is>
          <t>570 MW Wangchhu hydro project JV with Druk Green Power Corp (~₹6,000 cr); Shareholders Agreement Sep 2025; 'yet to commence operations' per AOC-1. VERIFIED.</t>
        </is>
      </c>
    </row>
    <row r="7" ht="45" customHeight="1">
      <c r="A7" s="16" t="inlineStr">
        <is>
          <t>Adani Power</t>
        </is>
      </c>
      <c r="B7" s="16" t="inlineStr">
        <is>
          <t>Moxie Power Generation Ltd — RECLASSIFIED</t>
        </is>
      </c>
      <c r="C7" s="16" t="inlineStr">
        <is>
          <t>49% equity but consolidated as SUBSIDIARY (see Sheet 7)</t>
        </is>
      </c>
      <c r="D7" s="16" t="inlineStr">
        <is>
          <t>CORRECTION: earlier flagged as a JV; the FY26 AOC-1 lists it under Part A (Subsidiaries) — Adani has control despite 49% equity.</t>
        </is>
      </c>
    </row>
    <row r="8" ht="45" customHeight="1">
      <c r="A8" s="16" t="inlineStr">
        <is>
          <t>Adani Power</t>
        </is>
      </c>
      <c r="B8" s="16" t="inlineStr">
        <is>
          <t>Jaiprakash Power Ventures Ltd (JPVL)</t>
        </is>
      </c>
      <c r="C8" s="16" t="inlineStr">
        <is>
          <t>24% (indirect, via resolution plan)</t>
        </is>
      </c>
      <c r="D8" s="16" t="inlineStr">
        <is>
          <t>Adani Power as 'Implementing Entity'; NCLT-approved ~Mar 2026 (~₹14,535 cr). Not yet in FY26 AOC-1 Part B (transaction completing post year-end).</t>
        </is>
      </c>
    </row>
    <row r="9" ht="45" customHeight="1">
      <c r="A9" s="16" t="inlineStr">
        <is>
          <t>Tata Power</t>
        </is>
      </c>
      <c r="B9" s="16" t="inlineStr">
        <is>
          <t>Tata Projects, Resurgent Power Ventures (26%), industrial JVs &amp; associates</t>
        </is>
      </c>
      <c r="C9" s="16" t="inlineStr">
        <is>
          <t>Various</t>
        </is>
      </c>
      <c r="D9" s="16" t="inlineStr">
        <is>
          <t>Tata Power holds numerous associates/JVs (share of profit ₹708cr FY26, ₹793cr FY25 per consolidated P&amp;L); full Part B list in FY26 Annual Report AOC-1.</t>
        </is>
      </c>
    </row>
    <row r="10" ht="45" customHeight="1">
      <c r="A10" s="16" t="inlineStr">
        <is>
          <t>Tata Power</t>
        </is>
      </c>
      <c r="B10" s="16" t="inlineStr">
        <is>
          <t>Dorjilung Hydro Power Ltd (Bhutan)</t>
        </is>
      </c>
      <c r="C10" s="16" t="inlineStr">
        <is>
          <t>Stake not disclosed in extract</t>
        </is>
      </c>
      <c r="D10" s="16" t="inlineStr">
        <is>
          <t>1,125 MW hydro project under development with Druk Green.</t>
        </is>
      </c>
    </row>
    <row r="11" ht="45" customHeight="1">
      <c r="A11" s="16" t="inlineStr">
        <is>
          <t>Torrent Power</t>
        </is>
      </c>
      <c r="B11" s="16" t="inlineStr">
        <is>
          <t>Associates (2 per earlier AOC-1 references)</t>
        </is>
      </c>
      <c r="C11" s="16" t="inlineStr">
        <is>
          <t>Not extracted</t>
        </is>
      </c>
      <c r="D11" s="16" t="inlineStr">
        <is>
          <t>Torrent's FY26 AOC-1 Part B not extracted in this pass — the Part A subsidiary data above is verified; pull Part B from the same annexure if associate detail is needed.</t>
        </is>
      </c>
    </row>
  </sheetData>
  <mergeCells count="2">
    <mergeCell ref="A1:D1"/>
    <mergeCell ref="A2:D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0"/>
  <sheetViews>
    <sheetView workbookViewId="0">
      <pane ySplit="5" topLeftCell="A6" activePane="bottomLeft" state="frozen"/>
      <selection pane="bottomLeft" activeCell="A1" sqref="A1"/>
    </sheetView>
  </sheetViews>
  <sheetFormatPr baseColWidth="8" defaultRowHeight="15"/>
  <cols>
    <col width="16" customWidth="1" min="1" max="1"/>
    <col width="60" customWidth="1" min="2" max="2"/>
    <col width="20" customWidth="1" min="3" max="3"/>
  </cols>
  <sheetData>
    <row r="1" ht="24" customHeight="1">
      <c r="A1" s="7" t="inlineStr">
        <is>
          <t>9. Investments (excl. Subsidiaries/Associates/JVs) — up to FY2023</t>
        </is>
      </c>
    </row>
    <row r="2">
      <c r="A2" s="8" t="inlineStr"/>
    </row>
    <row r="3" ht="6" customHeight="1"/>
    <row r="5">
      <c r="A5" s="10" t="inlineStr">
        <is>
          <t>Company</t>
        </is>
      </c>
      <c r="B5" s="10" t="inlineStr">
        <is>
          <t>Finding</t>
        </is>
      </c>
      <c r="C5" s="10" t="inlineStr">
        <is>
          <t>Data Quality</t>
        </is>
      </c>
    </row>
    <row r="6" ht="70" customHeight="1">
      <c r="A6" s="16" t="inlineStr">
        <is>
          <t>Adani Power</t>
        </is>
      </c>
      <c r="B6" s="16" t="inlineStr">
        <is>
          <t>VERIFIED from FY23 consolidated Investments notes: NON-CURRENT — ₹42.51cr total as at 31-Mar-2023 (vs ₹0.01cr FY22), comprising ₹42.50cr of 0.001% Optionally Convertible Cumulative Debentures of Sal Technologies and Solutions Ltd (4.25cr units, new in FY23), a ₹0.01cr National Saving Certificate, and a negligible FVTOCI equity stake in Adani Naval Defence Systems &amp; Technologies Ltd. CURRENT — ₹611.54cr in unquoted mutual funds (SBI Liquid Fund ₹608.42cr + SBI Overnight Fund ₹3.12cr) vs ₹183.24cr (FY22, SBI Overnight only). Pattern: treasury parked in liquid MFs, scale rising with cash generation; almost no discretionary long-term securities portfolio.</t>
        </is>
      </c>
      <c r="C6" s="16" t="inlineStr">
        <is>
          <t>VERIFIED (FY23 Annual Report)</t>
        </is>
      </c>
    </row>
    <row r="7" ht="70" customHeight="1">
      <c r="A7" s="16" t="inlineStr">
        <is>
          <t>Tata Power</t>
        </is>
      </c>
      <c r="B7" s="16" t="inlineStr">
        <is>
          <t>VERIFIED from FY23 consolidated Investments note: non-current investments OTHER than associates/JVs totalled ₹1,301.21cr as at 31-Mar-2023 (vs ₹1,169.81cr FY22), comprising equity shares carried at FVTOCI/FVTPL and Government Securities (unquoted) of ₹128.10cr (FY22: ₹124.26cr). The earlier secondary-source figure of '~₹12,064cr non-current investments' conflated investments in associates/JVs (equity-method carrying values) with this third-party portfolio — use ₹1,301cr for the ex-subsidiary/associate/JV basis the assignment asks for.</t>
        </is>
      </c>
      <c r="C7" s="16" t="inlineStr">
        <is>
          <t>VERIFIED (FY23 Annual Report) — replaces earlier unverified figure</t>
        </is>
      </c>
    </row>
    <row r="8" ht="70" customHeight="1">
      <c r="A8" s="16" t="inlineStr">
        <is>
          <t>Torrent Power</t>
        </is>
      </c>
      <c r="B8" s="16" t="inlineStr">
        <is>
          <t>VERIFIED from Note 10 (Other Investments) and Note 16 (Current Investments) of the CONSOLIDATED Financial Statements, FY23 Annual Report ('Notes forming part of the consolidated financial statements for the year ended March 31, 2023'): NON-CURRENT — ₹15.94cr as at 31-Mar-2023 (down from ₹132.82cr FY22), comprising Government of India bonds ₹15.89cr (the GERC Multi-Year-Tariff-mandated 'contingency reserve' for its Gujarat distribution licences) + ₹0.05cr equity in UNM Foundation. CURRENT — ₹787.75cr total (vs ₹273.70cr FY22): unquoted mutual funds ₹785.82cr + statutory contingency-reserve investments ₹1.93cr. CORRECTION: an earlier pass of this sheet had pulled the STANDALONE (parent-only) figures for current investments (₹682.31cr) by mistake — the consolidated figure is ₹787.75cr, ~₹105cr higher because subsidiaries hold additional mutual fund investments. Non-current figure is unchanged (identical at both levels). The GoI-bond holdings are regulatory-mandated (usable only for GERC-specified purposes), not discretionary treasury.</t>
        </is>
      </c>
      <c r="C8" s="16" t="inlineStr">
        <is>
          <t>VERIFIED CONSOLIDATED (FY23 Annual Report) — corrected from standalone</t>
        </is>
      </c>
    </row>
    <row r="10">
      <c r="A10" s="21" t="inlineStr">
        <is>
          <t>All three companies' figures above are now extracted directly from the consolidated 'Investments' notes of the FY2022-23 Annual Reports uploaded to the repo. Common pattern: all three park treasury cash in liquid/overnight mutual funds; Torrent additionally holds regulatory-mandated GoI bonds (GERC contingency reserve); none runs a material discretionary securities portfolio.</t>
        </is>
      </c>
    </row>
  </sheetData>
  <mergeCells count="3">
    <mergeCell ref="A1:C1"/>
    <mergeCell ref="A2:C2"/>
    <mergeCell ref="A10:C10"/>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27"/>
  <sheetViews>
    <sheetView workbookViewId="0">
      <pane ySplit="5" topLeftCell="A6" activePane="bottomLeft" state="frozen"/>
      <selection pane="bottomLeft" activeCell="A1" sqref="A1"/>
    </sheetView>
  </sheetViews>
  <sheetFormatPr baseColWidth="8" defaultRowHeight="15"/>
  <cols>
    <col width="16" customWidth="1" min="1" max="1"/>
    <col width="16" customWidth="1" min="2" max="2"/>
    <col width="55" customWidth="1" min="3" max="3"/>
    <col width="20" customWidth="1" min="4" max="4"/>
  </cols>
  <sheetData>
    <row r="1" ht="24" customHeight="1">
      <c r="A1" s="7" t="inlineStr">
        <is>
          <t>10. Major Changes in Financing (last 5 years)</t>
        </is>
      </c>
    </row>
    <row r="2">
      <c r="A2" s="8" t="inlineStr"/>
    </row>
    <row r="3" ht="6" customHeight="1"/>
    <row r="5">
      <c r="A5" s="10" t="inlineStr">
        <is>
          <t>Company</t>
        </is>
      </c>
      <c r="B5" s="10" t="inlineStr">
        <is>
          <t>Date</t>
        </is>
      </c>
      <c r="C5" s="10" t="inlineStr">
        <is>
          <t>Event</t>
        </is>
      </c>
      <c r="D5" s="10" t="inlineStr">
        <is>
          <t>Amount (₹ cr)</t>
        </is>
      </c>
    </row>
    <row r="6" ht="55" customHeight="1">
      <c r="A6" s="16" t="inlineStr">
        <is>
          <t>Adani Power</t>
        </is>
      </c>
      <c r="B6" s="16" t="inlineStr">
        <is>
          <t>Jan 2024</t>
        </is>
      </c>
      <c r="C6" s="16" t="inlineStr">
        <is>
          <t>CRISIL upgraded bank-facility rating to AA-/Stable from A/Stable</t>
        </is>
      </c>
      <c r="D6" s="16" t="inlineStr">
        <is>
          <t>—</t>
        </is>
      </c>
    </row>
    <row r="7" ht="55" customHeight="1">
      <c r="A7" s="16" t="inlineStr">
        <is>
          <t>Adani Power</t>
        </is>
      </c>
      <c r="B7" s="16" t="inlineStr">
        <is>
          <t>Feb 2025</t>
        </is>
      </c>
      <c r="C7" s="16" t="inlineStr">
        <is>
          <t>CRISIL upgraded to AA/Stable from AA-/Positive on ₹38,000 cr long-term bank facilities; assigned AA/Stable to proposed NCDs</t>
        </is>
      </c>
      <c r="D7" s="16" t="inlineStr">
        <is>
          <t>38,000 (facilities); 11,000 (proposed NCDs)</t>
        </is>
      </c>
    </row>
    <row r="8" ht="55" customHeight="1">
      <c r="A8" s="16" t="inlineStr">
        <is>
          <t>Adani Power</t>
        </is>
      </c>
      <c r="B8" s="16" t="inlineStr">
        <is>
          <t>FY22→FY24</t>
        </is>
      </c>
      <c r="C8" s="16" t="inlineStr">
        <is>
          <t>Deleveraging: net debt/EBITDA fell from ~4.0x (Mar-22) to 3.3x (Mar-23) to 1.4x (Mar-24)</t>
        </is>
      </c>
      <c r="D8" s="16" t="inlineStr">
        <is>
          <t>Net debt ~26,270-26,545 (Q4 FY24)</t>
        </is>
      </c>
    </row>
    <row r="9" ht="55" customHeight="1">
      <c r="A9" s="16" t="inlineStr">
        <is>
          <t>Adani Power</t>
        </is>
      </c>
      <c r="B9" s="16" t="inlineStr">
        <is>
          <t>FY24→FY25</t>
        </is>
      </c>
      <c r="C9" s="16" t="inlineStr">
        <is>
          <t>Shareholders' funds grew from ₹43,145 cr (31-Mar-24) to ₹56,347 cr (31-Mar-25)</t>
        </is>
      </c>
      <c r="D9" s="16" t="inlineStr">
        <is>
          <t>+13,202</t>
        </is>
      </c>
    </row>
    <row r="10" ht="55" customHeight="1">
      <c r="A10" s="16" t="inlineStr">
        <is>
          <t>Adani Power</t>
        </is>
      </c>
      <c r="B10" s="16" t="inlineStr">
        <is>
          <t>1-Aug-2025 / 22-Sep-2025</t>
        </is>
      </c>
      <c r="C10" s="16" t="inlineStr">
        <is>
          <t>1:5 stock split announced / effective (face value ₹10 → ₹2) — capital structure change, not a capital raise</t>
        </is>
      </c>
      <c r="D10" s="16" t="inlineStr">
        <is>
          <t>—</t>
        </is>
      </c>
    </row>
    <row r="11" ht="55" customHeight="1">
      <c r="A11" s="16" t="inlineStr">
        <is>
          <t>Tata Power</t>
        </is>
      </c>
      <c r="B11" s="16" t="inlineStr">
        <is>
          <t>30-Jul-2020</t>
        </is>
      </c>
      <c r="C11" s="16" t="inlineStr">
        <is>
          <t>₹2,600 cr preferential allotment of ~49.06 cr shares to promoter Tata Sons at ₹53/share, to cut debt &amp; fund capex; raised promoter stake 35.27%→45.21%</t>
        </is>
      </c>
      <c r="D11" s="16" t="inlineStr">
        <is>
          <t>2,600</t>
        </is>
      </c>
    </row>
    <row r="12" ht="55" customHeight="1">
      <c r="A12" s="16" t="inlineStr">
        <is>
          <t>Tata Power</t>
        </is>
      </c>
      <c r="B12" s="16" t="inlineStr">
        <is>
          <t>Apr-2024</t>
        </is>
      </c>
      <c r="C12" s="16" t="inlineStr">
        <is>
          <t>CRISIL upgraded to AA+/Stable from AA/Positive, citing improved generation/distribution profitability</t>
        </is>
      </c>
      <c r="D12" s="16" t="inlineStr">
        <is>
          <t>—</t>
        </is>
      </c>
    </row>
    <row r="13" ht="55" customHeight="1">
      <c r="A13" s="16" t="inlineStr">
        <is>
          <t>Tata Power</t>
        </is>
      </c>
      <c r="B13" s="16" t="inlineStr">
        <is>
          <t>FY22→FY24</t>
        </is>
      </c>
      <c r="C13" s="16" t="inlineStr">
        <is>
          <t>Deleveraging: net debt/EBITDA fell from ~4.5x (FY22) to 3.8x (FY23), sustained &lt;4.0x through FY24; debtor days improved from &gt;150 to ~102 days</t>
        </is>
      </c>
      <c r="D13" s="16" t="inlineStr">
        <is>
          <t>—</t>
        </is>
      </c>
    </row>
    <row r="14" ht="55" customHeight="1">
      <c r="A14" s="16" t="inlineStr">
        <is>
          <t>Torrent Power</t>
        </is>
      </c>
      <c r="B14" s="16" t="inlineStr">
        <is>
          <t>Dec-2024</t>
        </is>
      </c>
      <c r="C14" s="16" t="inlineStr">
        <is>
          <t>Maiden QIP — ₹3,500 cr raised at ₹1,503/share (~2.32 cr shares); first Torrent Group equity raise in ~3 decades; ~4x oversubscribed (bids ~₹14,000 cr)</t>
        </is>
      </c>
      <c r="D14" s="16" t="inlineStr">
        <is>
          <t>3,500</t>
        </is>
      </c>
    </row>
    <row r="15" ht="55" customHeight="1">
      <c r="A15" s="16" t="inlineStr">
        <is>
          <t>Torrent Power</t>
        </is>
      </c>
      <c r="B15" s="16" t="inlineStr">
        <is>
          <t>Apr-2022</t>
        </is>
      </c>
      <c r="C15" s="16" t="inlineStr">
        <is>
          <t>Series 8 NCDs — ₹600 cr (coupons 6.20%-7.45% across tenors)</t>
        </is>
      </c>
      <c r="D15" s="16" t="inlineStr">
        <is>
          <t>600</t>
        </is>
      </c>
    </row>
    <row r="16" ht="55" customHeight="1">
      <c r="A16" s="16" t="inlineStr">
        <is>
          <t>Torrent Power</t>
        </is>
      </c>
      <c r="B16" s="16" t="inlineStr">
        <is>
          <t>Mar-2026</t>
        </is>
      </c>
      <c r="C16" s="16" t="inlineStr">
        <is>
          <t>NCD issuance, 8/9/10-yr tenor</t>
        </is>
      </c>
      <c r="D16" s="16" t="inlineStr">
        <is>
          <t>2,000</t>
        </is>
      </c>
    </row>
    <row r="17" ht="55" customHeight="1">
      <c r="A17" s="16" t="inlineStr">
        <is>
          <t>Torrent Power</t>
        </is>
      </c>
      <c r="B17" s="16" t="inlineStr">
        <is>
          <t>Jun-2026</t>
        </is>
      </c>
      <c r="C17" s="16" t="inlineStr">
        <is>
          <t>NCDs across 4 tranches (3-10yr, coupons 8.10%-8.20%); board also sanctioned up to ₹10,000 cr NCD private placement tied to an ₹80,000 cr 5-yr capex plan</t>
        </is>
      </c>
      <c r="D17" s="16" t="inlineStr">
        <is>
          <t>3,800 (allotted); up to 10,000 (sanctioned)</t>
        </is>
      </c>
    </row>
    <row r="18" ht="55" customHeight="1">
      <c r="A18" s="16" t="inlineStr">
        <is>
          <t>Torrent Power</t>
        </is>
      </c>
      <c r="B18" s="16" t="inlineStr">
        <is>
          <t>Dec-2023 / Feb-2024 / Feb-2025</t>
        </is>
      </c>
      <c r="C18" s="16" t="inlineStr">
        <is>
          <t>CRISIL reaffirmed AA+/Stable (LT) and A1+ (ST) at each review; net debt/EBITDA improved 2.20x (FY24) → 1.40x (FY25)</t>
        </is>
      </c>
      <c r="D18" s="16" t="inlineStr">
        <is>
          <t>—</t>
        </is>
      </c>
    </row>
    <row r="20">
      <c r="A20" s="9" t="inlineStr">
        <is>
          <t>Comments</t>
        </is>
      </c>
    </row>
    <row r="21" ht="100" customHeight="1">
      <c r="A21" s="14" t="inlineStr">
        <is>
          <t>All three companies have been actively de-leveraging and improving credit ratings over the last five years — a sector-wide trend as thermal-generation cash flows normalized post-COVID and renewable capex was increasingly funded with cheaper, longer-tenor debt. Adani Power's improvement is the most dramatic in relative terms (net debt/EBITDA from ~4x to ~1.4x within two years), consistent with its swing from losses to strong profitability. Tata Power funded its 2020 deleveraging via a promoter-only preferential allotment rather than a public offering, keeping the raise off the open market. Torrent Power is notable for having gone ~30 years without a public equity raise before its Dec-2024 QIP — a signal of a more conservative, debt/promoter-funded capital structure historically, now shifting toward institutional equity to fund its large (₹80,000 cr) five-year capex programme.</t>
        </is>
      </c>
    </row>
    <row r="22"/>
    <row r="23"/>
    <row r="24"/>
    <row r="25"/>
    <row r="26"/>
    <row r="27"/>
  </sheetData>
  <mergeCells count="3">
    <mergeCell ref="A1:D1"/>
    <mergeCell ref="A2:D2"/>
    <mergeCell ref="A21:D27"/>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30"/>
  <sheetViews>
    <sheetView workbookViewId="0">
      <pane ySplit="5" topLeftCell="A6" activePane="bottomLeft" state="frozen"/>
      <selection pane="bottomLeft" activeCell="A1" sqref="A1"/>
    </sheetView>
  </sheetViews>
  <sheetFormatPr baseColWidth="8" defaultRowHeight="15"/>
  <cols>
    <col width="30" customWidth="1" min="1" max="1"/>
    <col width="16" customWidth="1" min="2" max="2"/>
    <col width="16" customWidth="1" min="3" max="3"/>
    <col width="16" customWidth="1" min="4" max="4"/>
    <col width="16" customWidth="1" min="5" max="5"/>
    <col width="16" customWidth="1" min="6" max="6"/>
  </cols>
  <sheetData>
    <row r="1" ht="24" customHeight="1">
      <c r="A1" s="7" t="inlineStr">
        <is>
          <t>11. Share Price Return vs Sector Index (weekly, 14-Jul-2025 to 15-Jul-2026) &amp; Volatility</t>
        </is>
      </c>
    </row>
    <row r="2">
      <c r="A2" s="8" t="inlineStr">
        <is>
          <t>COMPUTED from actual Yahoo Finance weekly adjusted-close data (split-adjusted), saved to repo as *_weekly.htm and parsed. 54 weekly points per series. Nifty Energy = sector index. Nifty 50 column pending (see note).</t>
        </is>
      </c>
    </row>
    <row r="3" ht="6" customHeight="1"/>
    <row r="5">
      <c r="A5" s="10" t="inlineStr">
        <is>
          <t>Metric</t>
        </is>
      </c>
      <c r="B5" s="10" t="inlineStr">
        <is>
          <t>Adani Power</t>
        </is>
      </c>
      <c r="C5" s="10" t="inlineStr">
        <is>
          <t>Tata Power</t>
        </is>
      </c>
      <c r="D5" s="10" t="inlineStr">
        <is>
          <t>Torrent Power</t>
        </is>
      </c>
      <c r="E5" s="10" t="inlineStr">
        <is>
          <t>Nifty Energy (sector)</t>
        </is>
      </c>
      <c r="F5" s="10" t="inlineStr">
        <is>
          <t>Nifty 50 (market)</t>
        </is>
      </c>
    </row>
    <row r="6" ht="26" customHeight="1">
      <c r="A6" s="16" t="inlineStr">
        <is>
          <t>Price at start (14-Jul-2025, adj)</t>
        </is>
      </c>
      <c r="B6" s="16" t="inlineStr">
        <is>
          <t>118.93</t>
        </is>
      </c>
      <c r="C6" s="16" t="inlineStr">
        <is>
          <t>405.39</t>
        </is>
      </c>
      <c r="D6" s="16" t="inlineStr">
        <is>
          <t>1,349.89</t>
        </is>
      </c>
      <c r="E6" s="16" t="inlineStr">
        <is>
          <t>36,231.65</t>
        </is>
      </c>
      <c r="F6" s="16" t="inlineStr">
        <is>
          <t>24,968.40</t>
        </is>
      </c>
    </row>
    <row r="7" ht="26" customHeight="1">
      <c r="A7" s="16" t="inlineStr">
        <is>
          <t>Price at end (15-Jul-2026)</t>
        </is>
      </c>
      <c r="B7" s="16" t="inlineStr">
        <is>
          <t>218.97</t>
        </is>
      </c>
      <c r="C7" s="16" t="inlineStr">
        <is>
          <t>380.90</t>
        </is>
      </c>
      <c r="D7" s="16" t="inlineStr">
        <is>
          <t>1,441.10</t>
        </is>
      </c>
      <c r="E7" s="16" t="inlineStr">
        <is>
          <t>39,381.25</t>
        </is>
      </c>
      <c r="F7" s="16" t="inlineStr">
        <is>
          <t>24,078.50</t>
        </is>
      </c>
    </row>
    <row r="8" ht="26" customHeight="1">
      <c r="A8" s="16" t="inlineStr">
        <is>
          <t>52-week weekly-close range</t>
        </is>
      </c>
      <c r="B8" s="16" t="inlineStr">
        <is>
          <t>113.40 - 243.37</t>
        </is>
      </c>
      <c r="C8" s="16" t="inlineStr">
        <is>
          <t>343.12 - 441.81</t>
        </is>
      </c>
      <c r="D8" s="16" t="inlineStr">
        <is>
          <t>1,204.41 - 1,730.01</t>
        </is>
      </c>
      <c r="E8" s="16" t="inlineStr">
        <is>
          <t>33,098.30 - 40,878.00</t>
        </is>
      </c>
      <c r="F8" s="16" t="inlineStr">
        <is>
          <t>22,713.10 - 26,328.55</t>
        </is>
      </c>
    </row>
    <row r="9" ht="26" customHeight="1">
      <c r="A9" s="16" t="inlineStr">
        <is>
          <t>1-year return (COMPUTED)</t>
        </is>
      </c>
      <c r="B9" s="16" t="inlineStr">
        <is>
          <t>+84.1%</t>
        </is>
      </c>
      <c r="C9" s="16" t="inlineStr">
        <is>
          <t>-6.0%</t>
        </is>
      </c>
      <c r="D9" s="16" t="inlineStr">
        <is>
          <t>+6.8%</t>
        </is>
      </c>
      <c r="E9" s="16" t="inlineStr">
        <is>
          <t>+8.7%</t>
        </is>
      </c>
      <c r="F9" s="16" t="inlineStr">
        <is>
          <t>-3.6%</t>
        </is>
      </c>
    </row>
    <row r="10" ht="26" customHeight="1">
      <c r="A10" s="16" t="inlineStr">
        <is>
          <t>Weekly return std dev (COMPUTED)</t>
        </is>
      </c>
      <c r="B10" s="16" t="inlineStr">
        <is>
          <t>4.95%</t>
        </is>
      </c>
      <c r="C10" s="16" t="inlineStr">
        <is>
          <t>2.90%</t>
        </is>
      </c>
      <c r="D10" s="16" t="inlineStr">
        <is>
          <t>4.55%</t>
        </is>
      </c>
      <c r="E10" s="16" t="inlineStr">
        <is>
          <t>2.30%</t>
        </is>
      </c>
      <c r="F10" s="16" t="inlineStr">
        <is>
          <t>1.70%</t>
        </is>
      </c>
    </row>
    <row r="11" ht="26" customHeight="1">
      <c r="A11" s="16" t="inlineStr">
        <is>
          <t>Annualized volatility = sd x sqrt(52)</t>
        </is>
      </c>
      <c r="B11" s="16" t="inlineStr">
        <is>
          <t>35.7%</t>
        </is>
      </c>
      <c r="C11" s="16" t="inlineStr">
        <is>
          <t>20.9%</t>
        </is>
      </c>
      <c r="D11" s="16" t="inlineStr">
        <is>
          <t>32.8%</t>
        </is>
      </c>
      <c r="E11" s="16" t="inlineStr">
        <is>
          <t>16.6%</t>
        </is>
      </c>
      <c r="F11" s="16" t="inlineStr">
        <is>
          <t>12.3%</t>
        </is>
      </c>
    </row>
    <row r="12" ht="26" customHeight="1">
      <c r="A12" s="16" t="inlineStr">
        <is>
          <t>Beta vs Nifty 50 / market (COMPUTED)</t>
        </is>
      </c>
      <c r="B12" s="16" t="inlineStr">
        <is>
          <t>1.13</t>
        </is>
      </c>
      <c r="C12" s="16" t="inlineStr">
        <is>
          <t>0.62</t>
        </is>
      </c>
      <c r="D12" s="16" t="inlineStr">
        <is>
          <t>1.46</t>
        </is>
      </c>
      <c r="E12" s="16" t="inlineStr">
        <is>
          <t>0.03</t>
        </is>
      </c>
      <c r="F12" s="16" t="inlineStr">
        <is>
          <t>1.00</t>
        </is>
      </c>
    </row>
    <row r="13" ht="26" customHeight="1">
      <c r="A13" s="16" t="inlineStr">
        <is>
          <t>Beta vs Nifty Energy / sector (COMPUTED)</t>
        </is>
      </c>
      <c r="B13" s="16" t="inlineStr">
        <is>
          <t>0.54</t>
        </is>
      </c>
      <c r="C13" s="16" t="inlineStr">
        <is>
          <t>0.03</t>
        </is>
      </c>
      <c r="D13" s="16" t="inlineStr">
        <is>
          <t>0.30</t>
        </is>
      </c>
      <c r="E13" s="16" t="inlineStr">
        <is>
          <t>1.00</t>
        </is>
      </c>
      <c r="F13" s="16" t="inlineStr">
        <is>
          <t>n/a</t>
        </is>
      </c>
    </row>
    <row r="14" ht="26" customHeight="1">
      <c r="A14" s="16" t="inlineStr">
        <is>
          <t>Return vs market (stock - Nifty 50)</t>
        </is>
      </c>
      <c r="B14" s="16" t="inlineStr">
        <is>
          <t>+87.7 pts</t>
        </is>
      </c>
      <c r="C14" s="16" t="inlineStr">
        <is>
          <t>-2.5 pts</t>
        </is>
      </c>
      <c r="D14" s="16" t="inlineStr">
        <is>
          <t>+10.3 pts</t>
        </is>
      </c>
      <c r="E14" s="16" t="inlineStr">
        <is>
          <t>+12.3 pts</t>
        </is>
      </c>
      <c r="F14" s="16" t="inlineStr">
        <is>
          <t>—</t>
        </is>
      </c>
    </row>
    <row r="15" ht="26" customHeight="1">
      <c r="A15" s="16" t="inlineStr">
        <is>
          <t>Return vs sector (stock - Nifty Energy)</t>
        </is>
      </c>
      <c r="B15" s="16" t="inlineStr">
        <is>
          <t>+75.4 pts</t>
        </is>
      </c>
      <c r="C15" s="16" t="inlineStr">
        <is>
          <t>-14.7 pts</t>
        </is>
      </c>
      <c r="D15" s="16" t="inlineStr">
        <is>
          <t>-1.9 pts</t>
        </is>
      </c>
      <c r="E15" s="16" t="inlineStr">
        <is>
          <t>—</t>
        </is>
      </c>
      <c r="F15" s="16" t="inlineStr">
        <is>
          <t>—</t>
        </is>
      </c>
    </row>
    <row r="17">
      <c r="A17" s="22" t="inlineStr">
        <is>
          <t>Data note</t>
        </is>
      </c>
    </row>
    <row r="18" ht="60" customHeight="1">
      <c r="A18" s="14" t="inlineStr">
        <is>
          <t>COMPLETE: all five series (3 stocks + Nifty 50 + Nifty Energy) parsed from the Yahoo Finance Historical Data pages saved in the repo (54 weekly adjusted-close points each, 14-Jul-2025 to 15-Jul-2026, split-adjusted). Weekly returns, standard deviations, annualized volatility, and betas computed from this data - see the Weekly_Price_Data sheet for the full series and the rebased performance chart below.</t>
        </is>
      </c>
    </row>
    <row r="19"/>
    <row r="20"/>
    <row r="22">
      <c r="A22" s="9" t="inlineStr">
        <is>
          <t>Comments — which share is most volatile?</t>
        </is>
      </c>
    </row>
    <row r="23" ht="130" customHeight="1">
      <c r="A23" s="14" t="inlineStr">
        <is>
          <t>ANSWER (computed from 54 weekly observations, split-adjusted): ADANI POWER is the most volatile of the three — weekly-return standard deviation 4.95% (annualized ~36%), vs Torrent Power 4.55% (~33%) and Tata Power 2.90% (~21%). The sector index (Nifty Energy) sat at 2.30% weekly (~17% annualized) — all three stocks were roughly 1.3-2.2x as volatile as their sector index. RETURNS: Adani Power massively outperformed (+84% vs the sector's +9%), Torrent Power roughly tracked the sector (+6.8%), and Tata Power underperformed (-6.0%). Note the LOW computed betas vs Nifty Energy (0.03-0.54): Nifty Energy is dominated by Reliance/ONGC (oil &amp; gas), so these power stocks move on company-specific news far more than on the 'sector' index — high volatility with low index correlation. Interpret beta accordingly. VS THE MARKET: Nifty 50 fell -3.6% over the window, so all three power stocks outperformed the broad market (Adani by ~88 points); market betas vs Nifty 50 are 1.13 (Adani), 0.62 (Tata) and 1.46 (Torrent).</t>
        </is>
      </c>
    </row>
    <row r="24"/>
    <row r="25"/>
    <row r="26"/>
    <row r="27"/>
    <row r="28"/>
    <row r="29"/>
    <row r="30"/>
  </sheetData>
  <mergeCells count="4">
    <mergeCell ref="A2:F2"/>
    <mergeCell ref="A18:F20"/>
    <mergeCell ref="A23:F30"/>
    <mergeCell ref="A1:F1"/>
  </mergeCells>
  <pageMargins left="0.75" right="0.75" top="1" bottom="1" header="0.5" footer="0.5"/>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N55"/>
  <sheetViews>
    <sheetView workbookViewId="0">
      <selection activeCell="A1" sqref="A1"/>
    </sheetView>
  </sheetViews>
  <sheetFormatPr baseColWidth="8" defaultRowHeight="15"/>
  <cols>
    <col width="13"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t="inlineStr">
        <is>
          <t>Week Ending</t>
        </is>
      </c>
      <c r="B1" t="inlineStr">
        <is>
          <t>Adani Power (adj ₹)</t>
        </is>
      </c>
      <c r="C1" t="inlineStr">
        <is>
          <t>Tata Power (₹)</t>
        </is>
      </c>
      <c r="D1" t="inlineStr">
        <is>
          <t>Torrent Power (₹)</t>
        </is>
      </c>
      <c r="E1" t="inlineStr">
        <is>
          <t>Nifty Energy</t>
        </is>
      </c>
      <c r="F1" t="inlineStr">
        <is>
          <t>Nifty 50</t>
        </is>
      </c>
      <c r="G1" t="inlineStr">
        <is>
          <t>Adani wk ret</t>
        </is>
      </c>
      <c r="H1" t="inlineStr">
        <is>
          <t>Tata wk ret</t>
        </is>
      </c>
      <c r="I1" t="inlineStr">
        <is>
          <t>Torrent wk ret</t>
        </is>
      </c>
      <c r="J1" t="inlineStr">
        <is>
          <t>NiftyEnergy wk ret</t>
        </is>
      </c>
      <c r="K1" t="inlineStr">
        <is>
          <t>Adani (base=100)</t>
        </is>
      </c>
      <c r="L1" t="inlineStr">
        <is>
          <t>Tata (base=100)</t>
        </is>
      </c>
      <c r="M1" t="inlineStr">
        <is>
          <t>Torrent (base=100)</t>
        </is>
      </c>
      <c r="N1" t="inlineStr">
        <is>
          <t>NiftyEnergy (base=100)</t>
        </is>
      </c>
    </row>
    <row r="2">
      <c r="A2" t="inlineStr">
        <is>
          <t>2025-07-14</t>
        </is>
      </c>
      <c r="B2" t="n">
        <v>118.93</v>
      </c>
      <c r="C2" t="n">
        <v>405.39</v>
      </c>
      <c r="D2" t="n">
        <v>1349.89</v>
      </c>
      <c r="E2" t="n">
        <v>36231.65</v>
      </c>
      <c r="F2" t="n">
        <v>24968.4</v>
      </c>
      <c r="K2" t="n">
        <v>100</v>
      </c>
      <c r="L2" t="n">
        <v>100</v>
      </c>
      <c r="M2" t="n">
        <v>100</v>
      </c>
      <c r="N2" t="n">
        <v>100</v>
      </c>
    </row>
    <row r="3">
      <c r="A3" t="inlineStr">
        <is>
          <t>2025-07-21</t>
        </is>
      </c>
      <c r="B3" t="n">
        <v>114</v>
      </c>
      <c r="C3" t="n">
        <v>392.92</v>
      </c>
      <c r="D3" t="n">
        <v>1307.38</v>
      </c>
      <c r="E3" t="n">
        <v>35250.5</v>
      </c>
      <c r="F3" t="n">
        <v>24837</v>
      </c>
      <c r="G3" t="n">
        <v>-0.041453</v>
      </c>
      <c r="H3" t="n">
        <v>-0.030761</v>
      </c>
      <c r="I3" t="n">
        <v>-0.031491</v>
      </c>
      <c r="J3" t="n">
        <v>-0.02708</v>
      </c>
      <c r="K3" t="n">
        <v>95.84999999999999</v>
      </c>
      <c r="L3" t="n">
        <v>96.92</v>
      </c>
      <c r="M3" t="n">
        <v>96.84999999999999</v>
      </c>
      <c r="N3" t="n">
        <v>97.29000000000001</v>
      </c>
    </row>
    <row r="4">
      <c r="A4" t="inlineStr">
        <is>
          <t>2025-07-28</t>
        </is>
      </c>
      <c r="B4" t="n">
        <v>113.4</v>
      </c>
      <c r="C4" t="n">
        <v>386.9</v>
      </c>
      <c r="D4" t="n">
        <v>1270.59</v>
      </c>
      <c r="E4" t="n">
        <v>34889</v>
      </c>
      <c r="F4" t="n">
        <v>24565.35</v>
      </c>
      <c r="G4" t="n">
        <v>-0.005263</v>
      </c>
      <c r="H4" t="n">
        <v>-0.015321</v>
      </c>
      <c r="I4" t="n">
        <v>-0.02814</v>
      </c>
      <c r="J4" t="n">
        <v>-0.010255</v>
      </c>
      <c r="K4" t="n">
        <v>95.34999999999999</v>
      </c>
      <c r="L4" t="n">
        <v>95.44</v>
      </c>
      <c r="M4" t="n">
        <v>94.13</v>
      </c>
      <c r="N4" t="n">
        <v>96.29000000000001</v>
      </c>
    </row>
    <row r="5">
      <c r="A5" t="inlineStr">
        <is>
          <t>2025-08-04</t>
        </is>
      </c>
      <c r="B5" t="n">
        <v>115.38</v>
      </c>
      <c r="C5" t="n">
        <v>376.47</v>
      </c>
      <c r="D5" t="n">
        <v>1317.54</v>
      </c>
      <c r="E5" t="n">
        <v>34391.95</v>
      </c>
      <c r="F5" t="n">
        <v>24363.3</v>
      </c>
      <c r="G5" t="n">
        <v>0.01746</v>
      </c>
      <c r="H5" t="n">
        <v>-0.026958</v>
      </c>
      <c r="I5" t="n">
        <v>0.036951</v>
      </c>
      <c r="J5" t="n">
        <v>-0.014247</v>
      </c>
      <c r="K5" t="n">
        <v>97.02</v>
      </c>
      <c r="L5" t="n">
        <v>92.87</v>
      </c>
      <c r="M5" t="n">
        <v>97.59999999999999</v>
      </c>
      <c r="N5" t="n">
        <v>94.92</v>
      </c>
    </row>
    <row r="6">
      <c r="A6" t="inlineStr">
        <is>
          <t>2025-08-11</t>
        </is>
      </c>
      <c r="B6" t="n">
        <v>116.81</v>
      </c>
      <c r="C6" t="n">
        <v>382.93</v>
      </c>
      <c r="D6" t="n">
        <v>1311.42</v>
      </c>
      <c r="E6" t="n">
        <v>34469.05</v>
      </c>
      <c r="F6" t="n">
        <v>24631.3</v>
      </c>
      <c r="G6" t="n">
        <v>0.012394</v>
      </c>
      <c r="H6" t="n">
        <v>0.017159</v>
      </c>
      <c r="I6" t="n">
        <v>-0.004645</v>
      </c>
      <c r="J6" t="n">
        <v>0.002242</v>
      </c>
      <c r="K6" t="n">
        <v>98.22</v>
      </c>
      <c r="L6" t="n">
        <v>94.45999999999999</v>
      </c>
      <c r="M6" t="n">
        <v>97.15000000000001</v>
      </c>
      <c r="N6" t="n">
        <v>95.14</v>
      </c>
    </row>
    <row r="7">
      <c r="A7" t="inlineStr">
        <is>
          <t>2025-08-18</t>
        </is>
      </c>
      <c r="B7" t="n">
        <v>118.86</v>
      </c>
      <c r="C7" t="n">
        <v>383.23</v>
      </c>
      <c r="D7" t="n">
        <v>1264.47</v>
      </c>
      <c r="E7" t="n">
        <v>34507.6</v>
      </c>
      <c r="F7" t="n">
        <v>24870.1</v>
      </c>
      <c r="G7" t="n">
        <v>0.01755</v>
      </c>
      <c r="H7" t="n">
        <v>0.000783</v>
      </c>
      <c r="I7" t="n">
        <v>-0.035801</v>
      </c>
      <c r="J7" t="n">
        <v>0.001118</v>
      </c>
      <c r="K7" t="n">
        <v>99.94</v>
      </c>
      <c r="L7" t="n">
        <v>94.53</v>
      </c>
      <c r="M7" t="n">
        <v>93.67</v>
      </c>
      <c r="N7" t="n">
        <v>95.23999999999999</v>
      </c>
    </row>
    <row r="8">
      <c r="A8" t="inlineStr">
        <is>
          <t>2025-08-25</t>
        </is>
      </c>
      <c r="B8" t="n">
        <v>120.13</v>
      </c>
      <c r="C8" t="n">
        <v>371.85</v>
      </c>
      <c r="D8" t="n">
        <v>1210.52</v>
      </c>
      <c r="E8" t="n">
        <v>33638.65</v>
      </c>
      <c r="F8" t="n">
        <v>24426.85</v>
      </c>
      <c r="G8" t="n">
        <v>0.010685</v>
      </c>
      <c r="H8" t="n">
        <v>-0.029695</v>
      </c>
      <c r="I8" t="n">
        <v>-0.042666</v>
      </c>
      <c r="J8" t="n">
        <v>-0.025181</v>
      </c>
      <c r="K8" t="n">
        <v>101.01</v>
      </c>
      <c r="L8" t="n">
        <v>91.73</v>
      </c>
      <c r="M8" t="n">
        <v>89.68000000000001</v>
      </c>
      <c r="N8" t="n">
        <v>92.84</v>
      </c>
    </row>
    <row r="9">
      <c r="A9" t="inlineStr">
        <is>
          <t>2025-09-01</t>
        </is>
      </c>
      <c r="B9" t="n">
        <v>121.94</v>
      </c>
      <c r="C9" t="n">
        <v>383.42</v>
      </c>
      <c r="D9" t="n">
        <v>1245.63</v>
      </c>
      <c r="E9" t="n">
        <v>34297.9</v>
      </c>
      <c r="F9" t="n">
        <v>24741</v>
      </c>
      <c r="G9" t="n">
        <v>0.015067</v>
      </c>
      <c r="H9" t="n">
        <v>0.031115</v>
      </c>
      <c r="I9" t="n">
        <v>0.029004</v>
      </c>
      <c r="J9" t="n">
        <v>0.019598</v>
      </c>
      <c r="K9" t="n">
        <v>102.53</v>
      </c>
      <c r="L9" t="n">
        <v>94.58</v>
      </c>
      <c r="M9" t="n">
        <v>92.28</v>
      </c>
      <c r="N9" t="n">
        <v>94.66</v>
      </c>
    </row>
    <row r="10">
      <c r="A10" t="inlineStr">
        <is>
          <t>2025-09-08</t>
        </is>
      </c>
      <c r="B10" t="n">
        <v>129.71</v>
      </c>
      <c r="C10" t="n">
        <v>383.87</v>
      </c>
      <c r="D10" t="n">
        <v>1250.47</v>
      </c>
      <c r="E10" t="n">
        <v>34940.3</v>
      </c>
      <c r="F10" t="n">
        <v>25114</v>
      </c>
      <c r="G10" t="n">
        <v>0.06372</v>
      </c>
      <c r="H10" t="n">
        <v>0.001174</v>
      </c>
      <c r="I10" t="n">
        <v>0.003886</v>
      </c>
      <c r="J10" t="n">
        <v>0.01873</v>
      </c>
      <c r="K10" t="n">
        <v>109.06</v>
      </c>
      <c r="L10" t="n">
        <v>94.69</v>
      </c>
      <c r="M10" t="n">
        <v>92.63</v>
      </c>
      <c r="N10" t="n">
        <v>96.44</v>
      </c>
    </row>
    <row r="11">
      <c r="A11" t="inlineStr">
        <is>
          <t>2025-09-15</t>
        </is>
      </c>
      <c r="B11" t="n">
        <v>141.88</v>
      </c>
      <c r="C11" t="n">
        <v>393.86</v>
      </c>
      <c r="D11" t="n">
        <v>1247.21</v>
      </c>
      <c r="E11" t="n">
        <v>35745.75</v>
      </c>
      <c r="F11" t="n">
        <v>25327.05</v>
      </c>
      <c r="G11" t="n">
        <v>0.09382500000000001</v>
      </c>
      <c r="H11" t="n">
        <v>0.026024</v>
      </c>
      <c r="I11" t="n">
        <v>-0.002607</v>
      </c>
      <c r="J11" t="n">
        <v>0.023052</v>
      </c>
      <c r="K11" t="n">
        <v>119.3</v>
      </c>
      <c r="L11" t="n">
        <v>97.16</v>
      </c>
      <c r="M11" t="n">
        <v>92.39</v>
      </c>
      <c r="N11" t="n">
        <v>98.66</v>
      </c>
    </row>
    <row r="12">
      <c r="A12" t="inlineStr">
        <is>
          <t>2025-09-22</t>
        </is>
      </c>
      <c r="B12" t="n">
        <v>146.25</v>
      </c>
      <c r="C12" t="n">
        <v>381.44</v>
      </c>
      <c r="D12" t="n">
        <v>1216.44</v>
      </c>
      <c r="E12" t="n">
        <v>34830</v>
      </c>
      <c r="F12" t="n">
        <v>24654.7</v>
      </c>
      <c r="G12" t="n">
        <v>0.030801</v>
      </c>
      <c r="H12" t="n">
        <v>-0.031534</v>
      </c>
      <c r="I12" t="n">
        <v>-0.024671</v>
      </c>
      <c r="J12" t="n">
        <v>-0.025618</v>
      </c>
      <c r="K12" t="n">
        <v>122.97</v>
      </c>
      <c r="L12" t="n">
        <v>94.09</v>
      </c>
      <c r="M12" t="n">
        <v>90.11</v>
      </c>
      <c r="N12" t="n">
        <v>96.13</v>
      </c>
    </row>
    <row r="13">
      <c r="A13" t="inlineStr">
        <is>
          <t>2025-09-29</t>
        </is>
      </c>
      <c r="B13" t="n">
        <v>147.38</v>
      </c>
      <c r="C13" t="n">
        <v>392.47</v>
      </c>
      <c r="D13" t="n">
        <v>1204.41</v>
      </c>
      <c r="E13" t="n">
        <v>35375.9</v>
      </c>
      <c r="F13" t="n">
        <v>24894.25</v>
      </c>
      <c r="G13" t="n">
        <v>0.007726</v>
      </c>
      <c r="H13" t="n">
        <v>0.028917</v>
      </c>
      <c r="I13" t="n">
        <v>-0.009889999999999999</v>
      </c>
      <c r="J13" t="n">
        <v>0.015673</v>
      </c>
      <c r="K13" t="n">
        <v>123.92</v>
      </c>
      <c r="L13" t="n">
        <v>96.81</v>
      </c>
      <c r="M13" t="n">
        <v>89.22</v>
      </c>
      <c r="N13" t="n">
        <v>97.64</v>
      </c>
    </row>
    <row r="14">
      <c r="A14" t="inlineStr">
        <is>
          <t>2025-10-06</t>
        </is>
      </c>
      <c r="B14" t="n">
        <v>149.7</v>
      </c>
      <c r="C14" t="n">
        <v>387.7</v>
      </c>
      <c r="D14" t="n">
        <v>1222.36</v>
      </c>
      <c r="E14" t="n">
        <v>35393.95</v>
      </c>
      <c r="F14" t="n">
        <v>25285.35</v>
      </c>
      <c r="G14" t="n">
        <v>0.015742</v>
      </c>
      <c r="H14" t="n">
        <v>-0.012154</v>
      </c>
      <c r="I14" t="n">
        <v>0.014904</v>
      </c>
      <c r="J14" t="n">
        <v>0.00051</v>
      </c>
      <c r="K14" t="n">
        <v>125.87</v>
      </c>
      <c r="L14" t="n">
        <v>95.64</v>
      </c>
      <c r="M14" t="n">
        <v>90.55</v>
      </c>
      <c r="N14" t="n">
        <v>97.69</v>
      </c>
    </row>
    <row r="15">
      <c r="A15" t="inlineStr">
        <is>
          <t>2025-10-13</t>
        </is>
      </c>
      <c r="B15" t="n">
        <v>165.98</v>
      </c>
      <c r="C15" t="n">
        <v>395.35</v>
      </c>
      <c r="D15" t="n">
        <v>1293.87</v>
      </c>
      <c r="E15" t="n">
        <v>35395.7</v>
      </c>
      <c r="F15" t="n">
        <v>25709.85</v>
      </c>
      <c r="G15" t="n">
        <v>0.108751</v>
      </c>
      <c r="H15" t="n">
        <v>0.019732</v>
      </c>
      <c r="I15" t="n">
        <v>0.058502</v>
      </c>
      <c r="J15" t="n">
        <v>4.9e-05</v>
      </c>
      <c r="K15" t="n">
        <v>139.56</v>
      </c>
      <c r="L15" t="n">
        <v>97.52</v>
      </c>
      <c r="M15" t="n">
        <v>95.84999999999999</v>
      </c>
      <c r="N15" t="n">
        <v>97.69</v>
      </c>
    </row>
    <row r="16">
      <c r="A16" t="inlineStr">
        <is>
          <t>2025-10-20</t>
        </is>
      </c>
      <c r="B16" t="n">
        <v>167.72</v>
      </c>
      <c r="C16" t="n">
        <v>394.41</v>
      </c>
      <c r="D16" t="n">
        <v>1307.67</v>
      </c>
      <c r="E16" t="n">
        <v>35626.9</v>
      </c>
      <c r="F16" t="n">
        <v>25795.15</v>
      </c>
      <c r="G16" t="n">
        <v>0.010483</v>
      </c>
      <c r="H16" t="n">
        <v>-0.002378</v>
      </c>
      <c r="I16" t="n">
        <v>0.010666</v>
      </c>
      <c r="J16" t="n">
        <v>0.006532</v>
      </c>
      <c r="K16" t="n">
        <v>141.02</v>
      </c>
      <c r="L16" t="n">
        <v>97.29000000000001</v>
      </c>
      <c r="M16" t="n">
        <v>96.87</v>
      </c>
      <c r="N16" t="n">
        <v>98.33</v>
      </c>
    </row>
    <row r="17">
      <c r="A17" t="inlineStr">
        <is>
          <t>2025-10-27</t>
        </is>
      </c>
      <c r="B17" t="n">
        <v>157.85</v>
      </c>
      <c r="C17" t="n">
        <v>402.41</v>
      </c>
      <c r="D17" t="n">
        <v>1298.5</v>
      </c>
      <c r="E17" t="n">
        <v>36275.95</v>
      </c>
      <c r="F17" t="n">
        <v>25722.1</v>
      </c>
      <c r="G17" t="n">
        <v>-0.058848</v>
      </c>
      <c r="H17" t="n">
        <v>0.020283</v>
      </c>
      <c r="I17" t="n">
        <v>-0.007012</v>
      </c>
      <c r="J17" t="n">
        <v>0.018218</v>
      </c>
      <c r="K17" t="n">
        <v>132.73</v>
      </c>
      <c r="L17" t="n">
        <v>99.26000000000001</v>
      </c>
      <c r="M17" t="n">
        <v>96.19</v>
      </c>
      <c r="N17" t="n">
        <v>100.12</v>
      </c>
    </row>
    <row r="18">
      <c r="A18" t="inlineStr">
        <is>
          <t>2025-11-03</t>
        </is>
      </c>
      <c r="B18" t="n">
        <v>151.48</v>
      </c>
      <c r="C18" t="n">
        <v>390.78</v>
      </c>
      <c r="D18" t="n">
        <v>1263.68</v>
      </c>
      <c r="E18" t="n">
        <v>35790.3</v>
      </c>
      <c r="F18" t="n">
        <v>25492.3</v>
      </c>
      <c r="G18" t="n">
        <v>-0.040355</v>
      </c>
      <c r="H18" t="n">
        <v>-0.028901</v>
      </c>
      <c r="I18" t="n">
        <v>-0.026816</v>
      </c>
      <c r="J18" t="n">
        <v>-0.013388</v>
      </c>
      <c r="K18" t="n">
        <v>127.37</v>
      </c>
      <c r="L18" t="n">
        <v>96.40000000000001</v>
      </c>
      <c r="M18" t="n">
        <v>93.61</v>
      </c>
      <c r="N18" t="n">
        <v>98.78</v>
      </c>
    </row>
    <row r="19">
      <c r="A19" t="inlineStr">
        <is>
          <t>2025-11-10</t>
        </is>
      </c>
      <c r="B19" t="n">
        <v>153.91</v>
      </c>
      <c r="C19" t="n">
        <v>386.01</v>
      </c>
      <c r="D19" t="n">
        <v>1283.21</v>
      </c>
      <c r="E19" t="n">
        <v>36261.1</v>
      </c>
      <c r="F19" t="n">
        <v>25910.05</v>
      </c>
      <c r="G19" t="n">
        <v>0.016042</v>
      </c>
      <c r="H19" t="n">
        <v>-0.012206</v>
      </c>
      <c r="I19" t="n">
        <v>0.015455</v>
      </c>
      <c r="J19" t="n">
        <v>0.013154</v>
      </c>
      <c r="K19" t="n">
        <v>129.41</v>
      </c>
      <c r="L19" t="n">
        <v>95.22</v>
      </c>
      <c r="M19" t="n">
        <v>95.06</v>
      </c>
      <c r="N19" t="n">
        <v>100.08</v>
      </c>
    </row>
    <row r="20">
      <c r="A20" t="inlineStr">
        <is>
          <t>2025-11-17</t>
        </is>
      </c>
      <c r="B20" t="n">
        <v>149.12</v>
      </c>
      <c r="C20" t="n">
        <v>384.62</v>
      </c>
      <c r="D20" t="n">
        <v>1273.74</v>
      </c>
      <c r="E20" t="n">
        <v>35852.4</v>
      </c>
      <c r="F20" t="n">
        <v>26068.15</v>
      </c>
      <c r="G20" t="n">
        <v>-0.031122</v>
      </c>
      <c r="H20" t="n">
        <v>-0.003601</v>
      </c>
      <c r="I20" t="n">
        <v>-0.00738</v>
      </c>
      <c r="J20" t="n">
        <v>-0.011271</v>
      </c>
      <c r="K20" t="n">
        <v>125.38</v>
      </c>
      <c r="L20" t="n">
        <v>94.88</v>
      </c>
      <c r="M20" t="n">
        <v>94.36</v>
      </c>
      <c r="N20" t="n">
        <v>98.95</v>
      </c>
    </row>
    <row r="21">
      <c r="A21" t="inlineStr">
        <is>
          <t>2025-11-24</t>
        </is>
      </c>
      <c r="B21" t="n">
        <v>147.49</v>
      </c>
      <c r="C21" t="n">
        <v>387.7</v>
      </c>
      <c r="D21" t="n">
        <v>1296.53</v>
      </c>
      <c r="E21" t="n">
        <v>35548.3</v>
      </c>
      <c r="F21" t="n">
        <v>26202.95</v>
      </c>
      <c r="G21" t="n">
        <v>-0.010931</v>
      </c>
      <c r="H21" t="n">
        <v>0.008007999999999999</v>
      </c>
      <c r="I21" t="n">
        <v>0.017892</v>
      </c>
      <c r="J21" t="n">
        <v>-0.008482</v>
      </c>
      <c r="K21" t="n">
        <v>124.01</v>
      </c>
      <c r="L21" t="n">
        <v>95.64</v>
      </c>
      <c r="M21" t="n">
        <v>96.05</v>
      </c>
      <c r="N21" t="n">
        <v>98.11</v>
      </c>
    </row>
    <row r="22">
      <c r="A22" t="inlineStr">
        <is>
          <t>2025-12-01</t>
        </is>
      </c>
      <c r="B22" t="n">
        <v>143.78</v>
      </c>
      <c r="C22" t="n">
        <v>382.13</v>
      </c>
      <c r="D22" t="n">
        <v>1272.26</v>
      </c>
      <c r="E22" t="n">
        <v>34971.8</v>
      </c>
      <c r="F22" t="n">
        <v>26186.45</v>
      </c>
      <c r="G22" t="n">
        <v>-0.025154</v>
      </c>
      <c r="H22" t="n">
        <v>-0.014367</v>
      </c>
      <c r="I22" t="n">
        <v>-0.018719</v>
      </c>
      <c r="J22" t="n">
        <v>-0.016217</v>
      </c>
      <c r="K22" t="n">
        <v>120.89</v>
      </c>
      <c r="L22" t="n">
        <v>94.26000000000001</v>
      </c>
      <c r="M22" t="n">
        <v>94.25</v>
      </c>
      <c r="N22" t="n">
        <v>96.52</v>
      </c>
    </row>
    <row r="23">
      <c r="A23" t="inlineStr">
        <is>
          <t>2025-12-08</t>
        </is>
      </c>
      <c r="B23" t="n">
        <v>144.49</v>
      </c>
      <c r="C23" t="n">
        <v>379.6</v>
      </c>
      <c r="D23" t="n">
        <v>1273.15</v>
      </c>
      <c r="E23" t="n">
        <v>35039.85</v>
      </c>
      <c r="F23" t="n">
        <v>26046.95</v>
      </c>
      <c r="G23" t="n">
        <v>0.004938</v>
      </c>
      <c r="H23" t="n">
        <v>-0.006621</v>
      </c>
      <c r="I23" t="n">
        <v>0.0007</v>
      </c>
      <c r="J23" t="n">
        <v>0.001946</v>
      </c>
      <c r="K23" t="n">
        <v>121.49</v>
      </c>
      <c r="L23" t="n">
        <v>93.64</v>
      </c>
      <c r="M23" t="n">
        <v>94.31999999999999</v>
      </c>
      <c r="N23" t="n">
        <v>96.70999999999999</v>
      </c>
    </row>
    <row r="24">
      <c r="A24" t="inlineStr">
        <is>
          <t>2025-12-15</t>
        </is>
      </c>
      <c r="B24" t="n">
        <v>141.76</v>
      </c>
      <c r="C24" t="n">
        <v>378.21</v>
      </c>
      <c r="D24" t="n">
        <v>1261.61</v>
      </c>
      <c r="E24" t="n">
        <v>34796.4</v>
      </c>
      <c r="F24" t="n">
        <v>25966.4</v>
      </c>
      <c r="G24" t="n">
        <v>-0.018894</v>
      </c>
      <c r="H24" t="n">
        <v>-0.003662</v>
      </c>
      <c r="I24" t="n">
        <v>-0.009063999999999999</v>
      </c>
      <c r="J24" t="n">
        <v>-0.006948</v>
      </c>
      <c r="K24" t="n">
        <v>119.2</v>
      </c>
      <c r="L24" t="n">
        <v>93.3</v>
      </c>
      <c r="M24" t="n">
        <v>93.45999999999999</v>
      </c>
      <c r="N24" t="n">
        <v>96.04000000000001</v>
      </c>
    </row>
    <row r="25">
      <c r="A25" t="inlineStr">
        <is>
          <t>2025-12-22</t>
        </is>
      </c>
      <c r="B25" t="n">
        <v>142.19</v>
      </c>
      <c r="C25" t="n">
        <v>377.21</v>
      </c>
      <c r="D25" t="n">
        <v>1281.44</v>
      </c>
      <c r="E25" t="n">
        <v>35058.8</v>
      </c>
      <c r="F25" t="n">
        <v>26042.3</v>
      </c>
      <c r="G25" t="n">
        <v>0.003033</v>
      </c>
      <c r="H25" t="n">
        <v>-0.002644</v>
      </c>
      <c r="I25" t="n">
        <v>0.015718</v>
      </c>
      <c r="J25" t="n">
        <v>0.007541</v>
      </c>
      <c r="K25" t="n">
        <v>119.56</v>
      </c>
      <c r="L25" t="n">
        <v>93.05</v>
      </c>
      <c r="M25" t="n">
        <v>94.93000000000001</v>
      </c>
      <c r="N25" t="n">
        <v>96.76000000000001</v>
      </c>
    </row>
    <row r="26">
      <c r="A26" t="inlineStr">
        <is>
          <t>2025-12-29</t>
        </is>
      </c>
      <c r="B26" t="n">
        <v>148.17</v>
      </c>
      <c r="C26" t="n">
        <v>390.68</v>
      </c>
      <c r="D26" t="n">
        <v>1380.27</v>
      </c>
      <c r="E26" t="n">
        <v>36275.65</v>
      </c>
      <c r="F26" t="n">
        <v>26328.55</v>
      </c>
      <c r="G26" t="n">
        <v>0.042056</v>
      </c>
      <c r="H26" t="n">
        <v>0.03571</v>
      </c>
      <c r="I26" t="n">
        <v>0.077124</v>
      </c>
      <c r="J26" t="n">
        <v>0.034709</v>
      </c>
      <c r="K26" t="n">
        <v>124.59</v>
      </c>
      <c r="L26" t="n">
        <v>96.37</v>
      </c>
      <c r="M26" t="n">
        <v>102.25</v>
      </c>
      <c r="N26" t="n">
        <v>100.12</v>
      </c>
    </row>
    <row r="27">
      <c r="A27" t="inlineStr">
        <is>
          <t>2026-01-05</t>
        </is>
      </c>
      <c r="B27" t="n">
        <v>141.68</v>
      </c>
      <c r="C27" t="n">
        <v>362.55</v>
      </c>
      <c r="D27" t="n">
        <v>1303.24</v>
      </c>
      <c r="E27" t="n">
        <v>34409.3</v>
      </c>
      <c r="F27" t="n">
        <v>25683.3</v>
      </c>
      <c r="G27" t="n">
        <v>-0.043801</v>
      </c>
      <c r="H27" t="n">
        <v>-0.072003</v>
      </c>
      <c r="I27" t="n">
        <v>-0.055808</v>
      </c>
      <c r="J27" t="n">
        <v>-0.051449</v>
      </c>
      <c r="K27" t="n">
        <v>119.13</v>
      </c>
      <c r="L27" t="n">
        <v>89.43000000000001</v>
      </c>
      <c r="M27" t="n">
        <v>96.54000000000001</v>
      </c>
      <c r="N27" t="n">
        <v>94.97</v>
      </c>
    </row>
    <row r="28">
      <c r="A28" t="inlineStr">
        <is>
          <t>2026-01-12</t>
        </is>
      </c>
      <c r="B28" t="n">
        <v>142.63</v>
      </c>
      <c r="C28" t="n">
        <v>363.85</v>
      </c>
      <c r="D28" t="n">
        <v>1339.14</v>
      </c>
      <c r="E28" t="n">
        <v>34346.35</v>
      </c>
      <c r="F28" t="n">
        <v>25694.35</v>
      </c>
      <c r="G28" t="n">
        <v>0.006705</v>
      </c>
      <c r="H28" t="n">
        <v>0.003586</v>
      </c>
      <c r="I28" t="n">
        <v>0.027547</v>
      </c>
      <c r="J28" t="n">
        <v>-0.001829</v>
      </c>
      <c r="K28" t="n">
        <v>119.93</v>
      </c>
      <c r="L28" t="n">
        <v>89.75</v>
      </c>
      <c r="M28" t="n">
        <v>99.2</v>
      </c>
      <c r="N28" t="n">
        <v>94.8</v>
      </c>
    </row>
    <row r="29">
      <c r="A29" t="inlineStr">
        <is>
          <t>2026-01-19</t>
        </is>
      </c>
      <c r="B29" t="n">
        <v>132.96</v>
      </c>
      <c r="C29" t="n">
        <v>343.12</v>
      </c>
      <c r="D29" t="n">
        <v>1253.33</v>
      </c>
      <c r="E29" t="n">
        <v>33098.3</v>
      </c>
      <c r="F29" t="n">
        <v>25048.65</v>
      </c>
      <c r="G29" t="n">
        <v>-0.067798</v>
      </c>
      <c r="H29" t="n">
        <v>-0.056974</v>
      </c>
      <c r="I29" t="n">
        <v>-0.064078</v>
      </c>
      <c r="J29" t="n">
        <v>-0.036337</v>
      </c>
      <c r="K29" t="n">
        <v>111.8</v>
      </c>
      <c r="L29" t="n">
        <v>84.64</v>
      </c>
      <c r="M29" t="n">
        <v>92.84999999999999</v>
      </c>
      <c r="N29" t="n">
        <v>91.34999999999999</v>
      </c>
    </row>
    <row r="30">
      <c r="A30" t="inlineStr">
        <is>
          <t>2026-01-26</t>
        </is>
      </c>
      <c r="B30" t="n">
        <v>132.85</v>
      </c>
      <c r="C30" t="n">
        <v>352.17</v>
      </c>
      <c r="D30" t="n">
        <v>1279.76</v>
      </c>
      <c r="E30" t="n">
        <v>35138.05</v>
      </c>
      <c r="F30" t="n">
        <v>24825.45</v>
      </c>
      <c r="G30" t="n">
        <v>-0.000827</v>
      </c>
      <c r="H30" t="n">
        <v>0.026376</v>
      </c>
      <c r="I30" t="n">
        <v>0.021088</v>
      </c>
      <c r="J30" t="n">
        <v>0.061627</v>
      </c>
      <c r="K30" t="n">
        <v>111.7</v>
      </c>
      <c r="L30" t="n">
        <v>86.87</v>
      </c>
      <c r="M30" t="n">
        <v>94.8</v>
      </c>
      <c r="N30" t="n">
        <v>96.98</v>
      </c>
    </row>
    <row r="31">
      <c r="A31" t="inlineStr">
        <is>
          <t>2026-02-02</t>
        </is>
      </c>
      <c r="B31" t="n">
        <v>152.74</v>
      </c>
      <c r="C31" t="n">
        <v>363.7</v>
      </c>
      <c r="D31" t="n">
        <v>1409.46</v>
      </c>
      <c r="E31" t="n">
        <v>36451.7</v>
      </c>
      <c r="F31" t="n">
        <v>25693.7</v>
      </c>
      <c r="G31" t="n">
        <v>0.149718</v>
      </c>
      <c r="H31" t="n">
        <v>0.03274</v>
      </c>
      <c r="I31" t="n">
        <v>0.101347</v>
      </c>
      <c r="J31" t="n">
        <v>0.037385</v>
      </c>
      <c r="K31" t="n">
        <v>128.43</v>
      </c>
      <c r="L31" t="n">
        <v>89.72</v>
      </c>
      <c r="M31" t="n">
        <v>104.41</v>
      </c>
      <c r="N31" t="n">
        <v>100.61</v>
      </c>
    </row>
    <row r="32">
      <c r="A32" t="inlineStr">
        <is>
          <t>2026-02-09</t>
        </is>
      </c>
      <c r="B32" t="n">
        <v>139.9</v>
      </c>
      <c r="C32" t="n">
        <v>371.8</v>
      </c>
      <c r="D32" t="n">
        <v>1442.6</v>
      </c>
      <c r="E32" t="n">
        <v>35709.9</v>
      </c>
      <c r="F32" t="n">
        <v>25471.1</v>
      </c>
      <c r="G32" t="n">
        <v>-0.084064</v>
      </c>
      <c r="H32" t="n">
        <v>0.022271</v>
      </c>
      <c r="I32" t="n">
        <v>0.023513</v>
      </c>
      <c r="J32" t="n">
        <v>-0.02035</v>
      </c>
      <c r="K32" t="n">
        <v>117.63</v>
      </c>
      <c r="L32" t="n">
        <v>91.70999999999999</v>
      </c>
      <c r="M32" t="n">
        <v>106.87</v>
      </c>
      <c r="N32" t="n">
        <v>98.56</v>
      </c>
    </row>
    <row r="33">
      <c r="A33" t="inlineStr">
        <is>
          <t>2026-02-16</t>
        </is>
      </c>
      <c r="B33" t="n">
        <v>142.7</v>
      </c>
      <c r="C33" t="n">
        <v>375.67</v>
      </c>
      <c r="D33" t="n">
        <v>1523.32</v>
      </c>
      <c r="E33" t="n">
        <v>36581.15</v>
      </c>
      <c r="F33" t="n">
        <v>25571.25</v>
      </c>
      <c r="G33" t="n">
        <v>0.020014</v>
      </c>
      <c r="H33" t="n">
        <v>0.010409</v>
      </c>
      <c r="I33" t="n">
        <v>0.055955</v>
      </c>
      <c r="J33" t="n">
        <v>0.024398</v>
      </c>
      <c r="K33" t="n">
        <v>119.99</v>
      </c>
      <c r="L33" t="n">
        <v>92.67</v>
      </c>
      <c r="M33" t="n">
        <v>112.85</v>
      </c>
      <c r="N33" t="n">
        <v>100.96</v>
      </c>
    </row>
    <row r="34">
      <c r="A34" t="inlineStr">
        <is>
          <t>2026-02-23</t>
        </is>
      </c>
      <c r="B34" t="n">
        <v>140.11</v>
      </c>
      <c r="C34" t="n">
        <v>375.22</v>
      </c>
      <c r="D34" t="n">
        <v>1560.99</v>
      </c>
      <c r="E34" t="n">
        <v>37045.2</v>
      </c>
      <c r="F34" t="n">
        <v>25178.65</v>
      </c>
      <c r="G34" t="n">
        <v>-0.01815</v>
      </c>
      <c r="H34" t="n">
        <v>-0.001198</v>
      </c>
      <c r="I34" t="n">
        <v>0.024729</v>
      </c>
      <c r="J34" t="n">
        <v>0.012685</v>
      </c>
      <c r="K34" t="n">
        <v>117.81</v>
      </c>
      <c r="L34" t="n">
        <v>92.56</v>
      </c>
      <c r="M34" t="n">
        <v>115.64</v>
      </c>
      <c r="N34" t="n">
        <v>102.25</v>
      </c>
    </row>
    <row r="35">
      <c r="A35" t="inlineStr">
        <is>
          <t>2026-03-02</t>
        </is>
      </c>
      <c r="B35" t="n">
        <v>138.99</v>
      </c>
      <c r="C35" t="n">
        <v>373.19</v>
      </c>
      <c r="D35" t="n">
        <v>1476.19</v>
      </c>
      <c r="E35" t="n">
        <v>36319.6</v>
      </c>
      <c r="F35" t="n">
        <v>24450.45</v>
      </c>
      <c r="G35" t="n">
        <v>-0.007993999999999999</v>
      </c>
      <c r="H35" t="n">
        <v>-0.00541</v>
      </c>
      <c r="I35" t="n">
        <v>-0.054324</v>
      </c>
      <c r="J35" t="n">
        <v>-0.019587</v>
      </c>
      <c r="K35" t="n">
        <v>116.87</v>
      </c>
      <c r="L35" t="n">
        <v>92.06</v>
      </c>
      <c r="M35" t="n">
        <v>109.36</v>
      </c>
      <c r="N35" t="n">
        <v>100.24</v>
      </c>
    </row>
    <row r="36">
      <c r="A36" t="inlineStr">
        <is>
          <t>2026-03-09</t>
        </is>
      </c>
      <c r="B36" t="n">
        <v>146.57</v>
      </c>
      <c r="C36" t="n">
        <v>392.52</v>
      </c>
      <c r="D36" t="n">
        <v>1456.26</v>
      </c>
      <c r="E36" t="n">
        <v>36071.85</v>
      </c>
      <c r="F36" t="n">
        <v>23151.1</v>
      </c>
      <c r="G36" t="n">
        <v>0.054536</v>
      </c>
      <c r="H36" t="n">
        <v>0.051797</v>
      </c>
      <c r="I36" t="n">
        <v>-0.013501</v>
      </c>
      <c r="J36" t="n">
        <v>-0.006821</v>
      </c>
      <c r="K36" t="n">
        <v>123.24</v>
      </c>
      <c r="L36" t="n">
        <v>96.83</v>
      </c>
      <c r="M36" t="n">
        <v>107.88</v>
      </c>
      <c r="N36" t="n">
        <v>99.56</v>
      </c>
    </row>
    <row r="37">
      <c r="A37" t="inlineStr">
        <is>
          <t>2026-03-16</t>
        </is>
      </c>
      <c r="B37" t="n">
        <v>151.54</v>
      </c>
      <c r="C37" t="n">
        <v>399.92</v>
      </c>
      <c r="D37" t="n">
        <v>1445.69</v>
      </c>
      <c r="E37" t="n">
        <v>35908.3</v>
      </c>
      <c r="F37" t="n">
        <v>23114.5</v>
      </c>
      <c r="G37" t="n">
        <v>0.033909</v>
      </c>
      <c r="H37" t="n">
        <v>0.018853</v>
      </c>
      <c r="I37" t="n">
        <v>-0.007258</v>
      </c>
      <c r="J37" t="n">
        <v>-0.004534</v>
      </c>
      <c r="K37" t="n">
        <v>127.42</v>
      </c>
      <c r="L37" t="n">
        <v>98.65000000000001</v>
      </c>
      <c r="M37" t="n">
        <v>107.1</v>
      </c>
      <c r="N37" t="n">
        <v>99.11</v>
      </c>
    </row>
    <row r="38">
      <c r="A38" t="inlineStr">
        <is>
          <t>2026-03-23</t>
        </is>
      </c>
      <c r="B38" t="n">
        <v>153.92</v>
      </c>
      <c r="C38" t="n">
        <v>383.32</v>
      </c>
      <c r="D38" t="n">
        <v>1347.63</v>
      </c>
      <c r="E38" t="n">
        <v>35214.8</v>
      </c>
      <c r="F38" t="n">
        <v>22819.6</v>
      </c>
      <c r="G38" t="n">
        <v>0.015705</v>
      </c>
      <c r="H38" t="n">
        <v>-0.041508</v>
      </c>
      <c r="I38" t="n">
        <v>-0.067829</v>
      </c>
      <c r="J38" t="n">
        <v>-0.019313</v>
      </c>
      <c r="K38" t="n">
        <v>129.42</v>
      </c>
      <c r="L38" t="n">
        <v>94.56</v>
      </c>
      <c r="M38" t="n">
        <v>99.83</v>
      </c>
      <c r="N38" t="n">
        <v>97.19</v>
      </c>
    </row>
    <row r="39">
      <c r="A39" t="inlineStr">
        <is>
          <t>2026-03-30</t>
        </is>
      </c>
      <c r="B39" t="n">
        <v>159.97</v>
      </c>
      <c r="C39" t="n">
        <v>382.63</v>
      </c>
      <c r="D39" t="n">
        <v>1327.6</v>
      </c>
      <c r="E39" t="n">
        <v>35299.4</v>
      </c>
      <c r="F39" t="n">
        <v>22713.1</v>
      </c>
      <c r="G39" t="n">
        <v>0.039306</v>
      </c>
      <c r="H39" t="n">
        <v>-0.0018</v>
      </c>
      <c r="I39" t="n">
        <v>-0.014863</v>
      </c>
      <c r="J39" t="n">
        <v>0.002402</v>
      </c>
      <c r="K39" t="n">
        <v>134.51</v>
      </c>
      <c r="L39" t="n">
        <v>94.39</v>
      </c>
      <c r="M39" t="n">
        <v>98.34999999999999</v>
      </c>
      <c r="N39" t="n">
        <v>97.43000000000001</v>
      </c>
    </row>
    <row r="40">
      <c r="A40" t="inlineStr">
        <is>
          <t>2026-04-06</t>
        </is>
      </c>
      <c r="B40" t="n">
        <v>175.81</v>
      </c>
      <c r="C40" t="n">
        <v>396.89</v>
      </c>
      <c r="D40" t="n">
        <v>1466.72</v>
      </c>
      <c r="E40" t="n">
        <v>37174.6</v>
      </c>
      <c r="F40" t="n">
        <v>24050.6</v>
      </c>
      <c r="G40" t="n">
        <v>0.099019</v>
      </c>
      <c r="H40" t="n">
        <v>0.037268</v>
      </c>
      <c r="I40" t="n">
        <v>0.104791</v>
      </c>
      <c r="J40" t="n">
        <v>0.053123</v>
      </c>
      <c r="K40" t="n">
        <v>147.83</v>
      </c>
      <c r="L40" t="n">
        <v>97.90000000000001</v>
      </c>
      <c r="M40" t="n">
        <v>108.65</v>
      </c>
      <c r="N40" t="n">
        <v>102.6</v>
      </c>
    </row>
    <row r="41">
      <c r="A41" t="inlineStr">
        <is>
          <t>2026-04-13</t>
        </is>
      </c>
      <c r="B41" t="n">
        <v>198.5</v>
      </c>
      <c r="C41" t="n">
        <v>424.97</v>
      </c>
      <c r="D41" t="n">
        <v>1559.6</v>
      </c>
      <c r="E41" t="n">
        <v>38881.75</v>
      </c>
      <c r="F41" t="n">
        <v>24353.55</v>
      </c>
      <c r="G41" t="n">
        <v>0.12906</v>
      </c>
      <c r="H41" t="n">
        <v>0.07074999999999999</v>
      </c>
      <c r="I41" t="n">
        <v>0.06332500000000001</v>
      </c>
      <c r="J41" t="n">
        <v>0.045922</v>
      </c>
      <c r="K41" t="n">
        <v>166.9</v>
      </c>
      <c r="L41" t="n">
        <v>104.83</v>
      </c>
      <c r="M41" t="n">
        <v>115.54</v>
      </c>
      <c r="N41" t="n">
        <v>107.31</v>
      </c>
    </row>
    <row r="42">
      <c r="A42" t="inlineStr">
        <is>
          <t>2026-04-20</t>
        </is>
      </c>
      <c r="B42" t="n">
        <v>212.9</v>
      </c>
      <c r="C42" t="n">
        <v>432.32</v>
      </c>
      <c r="D42" t="n">
        <v>1693.63</v>
      </c>
      <c r="E42" t="n">
        <v>39903.75</v>
      </c>
      <c r="F42" t="n">
        <v>23897.95</v>
      </c>
      <c r="G42" t="n">
        <v>0.072544</v>
      </c>
      <c r="H42" t="n">
        <v>0.017295</v>
      </c>
      <c r="I42" t="n">
        <v>0.085939</v>
      </c>
      <c r="J42" t="n">
        <v>0.026285</v>
      </c>
      <c r="K42" t="n">
        <v>179.01</v>
      </c>
      <c r="L42" t="n">
        <v>106.64</v>
      </c>
      <c r="M42" t="n">
        <v>125.46</v>
      </c>
      <c r="N42" t="n">
        <v>110.14</v>
      </c>
    </row>
    <row r="43">
      <c r="A43" t="inlineStr">
        <is>
          <t>2026-04-27</t>
        </is>
      </c>
      <c r="B43" t="n">
        <v>221.85</v>
      </c>
      <c r="C43" t="n">
        <v>441.81</v>
      </c>
      <c r="D43" t="n">
        <v>1730.01</v>
      </c>
      <c r="E43" t="n">
        <v>40771.9</v>
      </c>
      <c r="F43" t="n">
        <v>23997.55</v>
      </c>
      <c r="G43" t="n">
        <v>0.042039</v>
      </c>
      <c r="H43" t="n">
        <v>0.021951</v>
      </c>
      <c r="I43" t="n">
        <v>0.02148</v>
      </c>
      <c r="J43" t="n">
        <v>0.021756</v>
      </c>
      <c r="K43" t="n">
        <v>186.54</v>
      </c>
      <c r="L43" t="n">
        <v>108.98</v>
      </c>
      <c r="M43" t="n">
        <v>128.16</v>
      </c>
      <c r="N43" t="n">
        <v>112.53</v>
      </c>
    </row>
    <row r="44">
      <c r="A44" t="inlineStr">
        <is>
          <t>2026-05-04</t>
        </is>
      </c>
      <c r="B44" t="n">
        <v>225.33</v>
      </c>
      <c r="C44" t="n">
        <v>433.31</v>
      </c>
      <c r="D44" t="n">
        <v>1718.45</v>
      </c>
      <c r="E44" t="n">
        <v>40795.8</v>
      </c>
      <c r="F44" t="n">
        <v>24176.15</v>
      </c>
      <c r="G44" t="n">
        <v>0.015686</v>
      </c>
      <c r="H44" t="n">
        <v>-0.019239</v>
      </c>
      <c r="I44" t="n">
        <v>-0.006682</v>
      </c>
      <c r="J44" t="n">
        <v>0.000586</v>
      </c>
      <c r="K44" t="n">
        <v>189.46</v>
      </c>
      <c r="L44" t="n">
        <v>106.89</v>
      </c>
      <c r="M44" t="n">
        <v>127.3</v>
      </c>
      <c r="N44" t="n">
        <v>112.6</v>
      </c>
    </row>
    <row r="45">
      <c r="A45" t="inlineStr">
        <is>
          <t>2026-05-11</t>
        </is>
      </c>
      <c r="B45" t="n">
        <v>221.33</v>
      </c>
      <c r="C45" t="n">
        <v>404.49</v>
      </c>
      <c r="D45" t="n">
        <v>1460.94</v>
      </c>
      <c r="E45" t="n">
        <v>39816.85</v>
      </c>
      <c r="F45" t="n">
        <v>23643.5</v>
      </c>
      <c r="G45" t="n">
        <v>-0.017752</v>
      </c>
      <c r="H45" t="n">
        <v>-0.066511</v>
      </c>
      <c r="I45" t="n">
        <v>-0.14985</v>
      </c>
      <c r="J45" t="n">
        <v>-0.023996</v>
      </c>
      <c r="K45" t="n">
        <v>186.1</v>
      </c>
      <c r="L45" t="n">
        <v>99.78</v>
      </c>
      <c r="M45" t="n">
        <v>108.23</v>
      </c>
      <c r="N45" t="n">
        <v>109.9</v>
      </c>
    </row>
    <row r="46">
      <c r="A46" t="inlineStr">
        <is>
          <t>2026-05-18</t>
        </is>
      </c>
      <c r="B46" t="n">
        <v>219.32</v>
      </c>
      <c r="C46" t="n">
        <v>406.38</v>
      </c>
      <c r="D46" t="n">
        <v>1493.33</v>
      </c>
      <c r="E46" t="n">
        <v>40237.6</v>
      </c>
      <c r="F46" t="n">
        <v>23719.3</v>
      </c>
      <c r="G46" t="n">
        <v>-0.009081000000000001</v>
      </c>
      <c r="H46" t="n">
        <v>0.004673</v>
      </c>
      <c r="I46" t="n">
        <v>0.022171</v>
      </c>
      <c r="J46" t="n">
        <v>0.010567</v>
      </c>
      <c r="K46" t="n">
        <v>184.41</v>
      </c>
      <c r="L46" t="n">
        <v>100.24</v>
      </c>
      <c r="M46" t="n">
        <v>110.63</v>
      </c>
      <c r="N46" t="n">
        <v>111.06</v>
      </c>
    </row>
    <row r="47">
      <c r="A47" t="inlineStr">
        <is>
          <t>2026-05-25</t>
        </is>
      </c>
      <c r="B47" t="n">
        <v>243.37</v>
      </c>
      <c r="C47" t="n">
        <v>418.16</v>
      </c>
      <c r="D47" t="n">
        <v>1415.4</v>
      </c>
      <c r="E47" t="n">
        <v>40878</v>
      </c>
      <c r="F47" t="n">
        <v>23547.75</v>
      </c>
      <c r="G47" t="n">
        <v>0.109657</v>
      </c>
      <c r="H47" t="n">
        <v>0.028988</v>
      </c>
      <c r="I47" t="n">
        <v>-0.052185</v>
      </c>
      <c r="J47" t="n">
        <v>0.015915</v>
      </c>
      <c r="K47" t="n">
        <v>204.63</v>
      </c>
      <c r="L47" t="n">
        <v>103.15</v>
      </c>
      <c r="M47" t="n">
        <v>104.85</v>
      </c>
      <c r="N47" t="n">
        <v>112.82</v>
      </c>
    </row>
    <row r="48">
      <c r="A48" t="inlineStr">
        <is>
          <t>2026-06-01</t>
        </is>
      </c>
      <c r="B48" t="n">
        <v>232.6</v>
      </c>
      <c r="C48" t="n">
        <v>406.68</v>
      </c>
      <c r="D48" t="n">
        <v>1455.06</v>
      </c>
      <c r="E48" t="n">
        <v>40346.1</v>
      </c>
      <c r="F48" t="n">
        <v>23366.7</v>
      </c>
      <c r="G48" t="n">
        <v>-0.044254</v>
      </c>
      <c r="H48" t="n">
        <v>-0.027454</v>
      </c>
      <c r="I48" t="n">
        <v>0.02802</v>
      </c>
      <c r="J48" t="n">
        <v>-0.013012</v>
      </c>
      <c r="K48" t="n">
        <v>195.58</v>
      </c>
      <c r="L48" t="n">
        <v>100.32</v>
      </c>
      <c r="M48" t="n">
        <v>107.79</v>
      </c>
      <c r="N48" t="n">
        <v>111.36</v>
      </c>
    </row>
    <row r="49">
      <c r="A49" t="inlineStr">
        <is>
          <t>2026-06-08</t>
        </is>
      </c>
      <c r="B49" t="n">
        <v>223.07</v>
      </c>
      <c r="C49" t="n">
        <v>391.13</v>
      </c>
      <c r="D49" t="n">
        <v>1387.2</v>
      </c>
      <c r="E49" t="n">
        <v>39244.45</v>
      </c>
      <c r="F49" t="n">
        <v>23622.9</v>
      </c>
      <c r="G49" t="n">
        <v>-0.040972</v>
      </c>
      <c r="H49" t="n">
        <v>-0.038236</v>
      </c>
      <c r="I49" t="n">
        <v>-0.046637</v>
      </c>
      <c r="J49" t="n">
        <v>-0.027305</v>
      </c>
      <c r="K49" t="n">
        <v>187.56</v>
      </c>
      <c r="L49" t="n">
        <v>96.48</v>
      </c>
      <c r="M49" t="n">
        <v>102.76</v>
      </c>
      <c r="N49" t="n">
        <v>108.32</v>
      </c>
    </row>
    <row r="50">
      <c r="A50" t="inlineStr">
        <is>
          <t>2026-06-15</t>
        </is>
      </c>
      <c r="B50" t="n">
        <v>231.76</v>
      </c>
      <c r="C50" t="n">
        <v>399.87</v>
      </c>
      <c r="D50" t="n">
        <v>1438.4</v>
      </c>
      <c r="E50" t="n">
        <v>40548.1</v>
      </c>
      <c r="F50" t="n">
        <v>24013.1</v>
      </c>
      <c r="G50" t="n">
        <v>0.038956</v>
      </c>
      <c r="H50" t="n">
        <v>0.022346</v>
      </c>
      <c r="I50" t="n">
        <v>0.036909</v>
      </c>
      <c r="J50" t="n">
        <v>0.033219</v>
      </c>
      <c r="K50" t="n">
        <v>194.87</v>
      </c>
      <c r="L50" t="n">
        <v>98.64</v>
      </c>
      <c r="M50" t="n">
        <v>106.56</v>
      </c>
      <c r="N50" t="n">
        <v>111.91</v>
      </c>
    </row>
    <row r="51">
      <c r="A51" t="inlineStr">
        <is>
          <t>2026-06-22</t>
        </is>
      </c>
      <c r="B51" t="n">
        <v>229.27</v>
      </c>
      <c r="C51" t="n">
        <v>388.95</v>
      </c>
      <c r="D51" t="n">
        <v>1413.7</v>
      </c>
      <c r="E51" t="n">
        <v>39637</v>
      </c>
      <c r="F51" t="n">
        <v>24056</v>
      </c>
      <c r="G51" t="n">
        <v>-0.010744</v>
      </c>
      <c r="H51" t="n">
        <v>-0.027309</v>
      </c>
      <c r="I51" t="n">
        <v>-0.017172</v>
      </c>
      <c r="J51" t="n">
        <v>-0.02247</v>
      </c>
      <c r="K51" t="n">
        <v>192.78</v>
      </c>
      <c r="L51" t="n">
        <v>95.94</v>
      </c>
      <c r="M51" t="n">
        <v>104.73</v>
      </c>
      <c r="N51" t="n">
        <v>109.4</v>
      </c>
    </row>
    <row r="52">
      <c r="A52" t="inlineStr">
        <is>
          <t>2026-06-29</t>
        </is>
      </c>
      <c r="B52" t="n">
        <v>221.79</v>
      </c>
      <c r="C52" t="n">
        <v>375.2</v>
      </c>
      <c r="D52" t="n">
        <v>1366.5</v>
      </c>
      <c r="E52" t="n">
        <v>39178.6</v>
      </c>
      <c r="F52" t="n">
        <v>24270.85</v>
      </c>
      <c r="G52" t="n">
        <v>-0.032625</v>
      </c>
      <c r="H52" t="n">
        <v>-0.035352</v>
      </c>
      <c r="I52" t="n">
        <v>-0.033388</v>
      </c>
      <c r="J52" t="n">
        <v>-0.011565</v>
      </c>
      <c r="K52" t="n">
        <v>186.49</v>
      </c>
      <c r="L52" t="n">
        <v>92.55</v>
      </c>
      <c r="M52" t="n">
        <v>101.23</v>
      </c>
      <c r="N52" t="n">
        <v>108.13</v>
      </c>
    </row>
    <row r="53">
      <c r="A53" t="inlineStr">
        <is>
          <t>2026-07-06</t>
        </is>
      </c>
      <c r="B53" t="n">
        <v>218.45</v>
      </c>
      <c r="C53" t="n">
        <v>381.3</v>
      </c>
      <c r="D53" t="n">
        <v>1419.4</v>
      </c>
      <c r="E53" t="n">
        <v>39242.05</v>
      </c>
      <c r="F53" t="n">
        <v>24206.9</v>
      </c>
      <c r="G53" t="n">
        <v>-0.015059</v>
      </c>
      <c r="H53" t="n">
        <v>0.016258</v>
      </c>
      <c r="I53" t="n">
        <v>0.038712</v>
      </c>
      <c r="J53" t="n">
        <v>0.00162</v>
      </c>
      <c r="K53" t="n">
        <v>183.68</v>
      </c>
      <c r="L53" t="n">
        <v>94.06</v>
      </c>
      <c r="M53" t="n">
        <v>105.15</v>
      </c>
      <c r="N53" t="n">
        <v>108.31</v>
      </c>
    </row>
    <row r="54">
      <c r="A54" t="inlineStr">
        <is>
          <t>2026-07-13</t>
        </is>
      </c>
      <c r="B54" t="n">
        <v>226.17</v>
      </c>
      <c r="C54" t="n">
        <v>377.7</v>
      </c>
      <c r="D54" t="n">
        <v>1465.3</v>
      </c>
      <c r="F54" t="n">
        <v>24052.05</v>
      </c>
      <c r="G54" t="n">
        <v>0.03534</v>
      </c>
      <c r="H54" t="n">
        <v>-0.009441</v>
      </c>
      <c r="I54" t="n">
        <v>0.032338</v>
      </c>
      <c r="K54" t="n">
        <v>190.17</v>
      </c>
      <c r="L54" t="n">
        <v>93.17</v>
      </c>
      <c r="M54" t="n">
        <v>108.55</v>
      </c>
    </row>
    <row r="55">
      <c r="A55" t="inlineStr">
        <is>
          <t>2026-07-15</t>
        </is>
      </c>
      <c r="B55" t="n">
        <v>218.97</v>
      </c>
      <c r="C55" t="n">
        <v>380.9</v>
      </c>
      <c r="D55" t="n">
        <v>1441.1</v>
      </c>
      <c r="E55" t="n">
        <v>39381.25</v>
      </c>
      <c r="F55" t="n">
        <v>24078.5</v>
      </c>
      <c r="G55" t="n">
        <v>-0.031834</v>
      </c>
      <c r="H55" t="n">
        <v>0.008472</v>
      </c>
      <c r="I55" t="n">
        <v>-0.016515</v>
      </c>
      <c r="J55" t="n">
        <v>0.003547</v>
      </c>
      <c r="K55" t="n">
        <v>184.12</v>
      </c>
      <c r="L55" t="n">
        <v>93.95999999999999</v>
      </c>
      <c r="M55" t="n">
        <v>106.76</v>
      </c>
      <c r="N55" t="n">
        <v>108.69</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25"/>
  <sheetViews>
    <sheetView workbookViewId="0">
      <pane ySplit="5" topLeftCell="A6" activePane="bottomLeft" state="frozen"/>
      <selection pane="bottomLeft" activeCell="A1" sqref="A1"/>
    </sheetView>
  </sheetViews>
  <sheetFormatPr baseColWidth="8" defaultRowHeight="15"/>
  <cols>
    <col width="16" customWidth="1" min="1" max="1"/>
    <col width="40" customWidth="1" min="2" max="2"/>
    <col width="30" customWidth="1" min="3" max="3"/>
    <col width="16" customWidth="1" min="4" max="4"/>
  </cols>
  <sheetData>
    <row r="1" ht="24" customHeight="1">
      <c r="A1" s="7" t="inlineStr">
        <is>
          <t>12. Major Announcements — Adani Power (last ~12 months) &amp; Price Reaction</t>
        </is>
      </c>
    </row>
    <row r="2">
      <c r="A2" s="8" t="inlineStr">
        <is>
          <t>Target company only, per assignment. Dates approximate (secondary-source aggregated) — cross-check exact filing dates on BSE corporate announcements page before final submission.</t>
        </is>
      </c>
    </row>
    <row r="3" ht="6" customHeight="1"/>
    <row r="5">
      <c r="A5" s="10" t="inlineStr">
        <is>
          <t>Date (approx.)</t>
        </is>
      </c>
      <c r="B5" s="10" t="inlineStr">
        <is>
          <t>Announcement</t>
        </is>
      </c>
      <c r="C5" s="10" t="inlineStr">
        <is>
          <t>Reported Price Reaction</t>
        </is>
      </c>
      <c r="D5" s="10" t="inlineStr">
        <is>
          <t>Nearest known price (₹)</t>
        </is>
      </c>
    </row>
    <row r="6" ht="45" customHeight="1">
      <c r="A6" s="16" t="inlineStr">
        <is>
          <t>07-Jul-2025</t>
        </is>
      </c>
      <c r="B6" s="16" t="inlineStr">
        <is>
          <t>Completed acquisition of Vidarbha Industries Power Ltd (600 MW) — total capacity to 18,150 MW</t>
        </is>
      </c>
      <c r="C6" s="20" t="inlineStr">
        <is>
          <t>Not quantified in sources found</t>
        </is>
      </c>
      <c r="D6" s="16" t="inlineStr"/>
    </row>
    <row r="7" ht="45" customHeight="1">
      <c r="A7" s="16" t="inlineStr">
        <is>
          <t>01-Aug-2025</t>
        </is>
      </c>
      <c r="B7" s="16" t="inlineStr">
        <is>
          <t>Q1 FY26 results: PAT ₹3,305 cr (down 15.5% YoY); 1:5 stock split announced</t>
        </is>
      </c>
      <c r="C7" s="20" t="inlineStr">
        <is>
          <t>Not quantified</t>
        </is>
      </c>
      <c r="D7" s="16" t="inlineStr"/>
    </row>
    <row r="8" ht="45" customHeight="1">
      <c r="A8" s="16" t="inlineStr">
        <is>
          <t>Sep-2025</t>
        </is>
      </c>
      <c r="B8" s="16" t="inlineStr">
        <is>
          <t>Adani Power–Druk Green (Bhutan) Shareholders Agreement — 570 MW Wangchhu hydro (~₹6,000 cr)</t>
        </is>
      </c>
      <c r="C8" s="20" t="inlineStr">
        <is>
          <t>Not quantified</t>
        </is>
      </c>
      <c r="D8" s="16" t="inlineStr"/>
    </row>
    <row r="9" ht="45" customHeight="1">
      <c r="A9" s="16" t="inlineStr">
        <is>
          <t>22-Sep-2025</t>
        </is>
      </c>
      <c r="B9" s="16" t="inlineStr">
        <is>
          <t>1:5 stock split effective (face value ₹10→₹2)</t>
        </is>
      </c>
      <c r="C9" s="16" t="inlineStr">
        <is>
          <t>Mechanical price adjustment (~1/5th), not a market reaction</t>
        </is>
      </c>
      <c r="D9" s="16" t="inlineStr"/>
    </row>
    <row r="10" ht="45" customHeight="1">
      <c r="A10" s="16" t="inlineStr">
        <is>
          <t>30-Oct-2025</t>
        </is>
      </c>
      <c r="B10" s="16" t="inlineStr">
        <is>
          <t>Q2 FY26 results: PAT ~₹2,906-2,953 cr (down ~11-12% YoY); secured 4.5 GW new long-term PPAs</t>
        </is>
      </c>
      <c r="C10" s="20" t="inlineStr">
        <is>
          <t>Not quantified</t>
        </is>
      </c>
      <c r="D10" s="16" t="inlineStr"/>
    </row>
    <row r="11" ht="45" customHeight="1">
      <c r="A11" s="16" t="inlineStr">
        <is>
          <t>14-Nov-2025</t>
        </is>
      </c>
      <c r="B11" s="16" t="inlineStr">
        <is>
          <t>Letter of Award — 3,200 MW Assam UMPP (~₹48,000 cr investment, DBFOO)</t>
        </is>
      </c>
      <c r="C11" s="16" t="inlineStr">
        <is>
          <t>'Share price surge reported' (source did not quantify %)</t>
        </is>
      </c>
      <c r="D11" s="16" t="inlineStr"/>
    </row>
    <row r="12" ht="45" customHeight="1">
      <c r="A12" s="16" t="inlineStr">
        <is>
          <t>Nov-2025</t>
        </is>
      </c>
      <c r="B12" s="16" t="inlineStr">
        <is>
          <t>24% stake in Jaiprakash Power Ventures via ₹14,535 cr resolution plan — creditors approved (89% votes)</t>
        </is>
      </c>
      <c r="C12" s="16" t="inlineStr">
        <is>
          <t>JP Power (the target) stock jumped ~29% in two days — Adani Power's own reaction not quantified in sources found</t>
        </is>
      </c>
      <c r="D12" s="16" t="inlineStr"/>
    </row>
    <row r="13" ht="45" customHeight="1">
      <c r="A13" s="16" t="inlineStr">
        <is>
          <t>05-Jan-2026</t>
        </is>
      </c>
      <c r="B13" s="16" t="inlineStr">
        <is>
          <t>News coverage: stock up ~40% over trailing 12 months</t>
        </is>
      </c>
      <c r="C13" s="16" t="inlineStr">
        <is>
          <t>+40% (12-mo, as reported that day)</t>
        </is>
      </c>
      <c r="D13" s="16" t="inlineStr">
        <is>
          <t>146.20</t>
        </is>
      </c>
    </row>
    <row r="14" ht="45" customHeight="1">
      <c r="A14" s="16" t="inlineStr">
        <is>
          <t>11-Feb-2026</t>
        </is>
      </c>
      <c r="B14" s="16" t="inlineStr">
        <is>
          <t>Incorporation of Adani Atomic Energy Ltd — entry into nuclear power</t>
        </is>
      </c>
      <c r="C14" s="20" t="inlineStr">
        <is>
          <t>Not quantified</t>
        </is>
      </c>
      <c r="D14" s="16" t="inlineStr"/>
    </row>
    <row r="15" ht="45" customHeight="1">
      <c r="A15" s="16" t="inlineStr">
        <is>
          <t>~Mar-2026</t>
        </is>
      </c>
      <c r="B15" s="16" t="inlineStr">
        <is>
          <t>NCLT approval of Jaiprakash Power Ventures resolution plan</t>
        </is>
      </c>
      <c r="C15" s="20" t="inlineStr">
        <is>
          <t>Not quantified</t>
        </is>
      </c>
      <c r="D15" s="16" t="inlineStr"/>
    </row>
    <row r="16" ht="45" customHeight="1">
      <c r="A16" s="16" t="inlineStr">
        <is>
          <t>29-Apr-2026</t>
        </is>
      </c>
      <c r="B16" s="16" t="inlineStr">
        <is>
          <t>Q4/FY26 results: Q4 PAT ₹4,271 cr (+64% YoY); FY26 PAT ₹12,971 cr vs ₹12,750 cr FY25</t>
        </is>
      </c>
      <c r="C16" s="20" t="inlineStr">
        <is>
          <t>Not quantified</t>
        </is>
      </c>
      <c r="D16" s="16" t="inlineStr"/>
    </row>
    <row r="17" ht="45" customHeight="1">
      <c r="A17" s="16" t="inlineStr">
        <is>
          <t>05-May-2026</t>
        </is>
      </c>
      <c r="B17" s="16" t="inlineStr">
        <is>
          <t>Stock hits 52-week high, intraday</t>
        </is>
      </c>
      <c r="C17" s="16" t="inlineStr">
        <is>
          <t>Record high reached</t>
        </is>
      </c>
      <c r="D17" s="16" t="inlineStr">
        <is>
          <t>234.35</t>
        </is>
      </c>
    </row>
    <row r="18" ht="45" customHeight="1">
      <c r="A18" s="16" t="inlineStr">
        <is>
          <t>22-May-2026</t>
        </is>
      </c>
      <c r="B18" s="16" t="inlineStr">
        <is>
          <t>Profit-booking reported post ~100% 1-year return</t>
        </is>
      </c>
      <c r="C18" s="16" t="inlineStr">
        <is>
          <t>~6% off high; ~100% 1-yr return cited that day</t>
        </is>
      </c>
      <c r="D18" s="16" t="inlineStr">
        <is>
          <t>~220.00</t>
        </is>
      </c>
    </row>
    <row r="19" ht="45" customHeight="1">
      <c r="A19" s="16" t="inlineStr">
        <is>
          <t>13-Jul-2026</t>
        </is>
      </c>
      <c r="B19" s="16" t="inlineStr">
        <is>
          <t>Filing on encumbrance/non-disposal undertaking re: Jaiprakash Power shares (in role as JPVL implementing entity)</t>
        </is>
      </c>
      <c r="C19" s="20" t="inlineStr">
        <is>
          <t>Not quantified</t>
        </is>
      </c>
      <c r="D19" s="16" t="inlineStr"/>
    </row>
    <row r="21">
      <c r="A21" s="13" t="inlineStr">
        <is>
          <t>Note on this section</t>
        </is>
      </c>
    </row>
    <row r="22" ht="90" customHeight="1">
      <c r="A22" s="14" t="inlineStr">
        <is>
          <t>Most individual-announcement price reactions (in %) were NOT disclosed in the secondary news sources found via search — only a few data points (the 40% 12-month move reported 5-Jan-2026, the 52-week high of ₹234.35 on 5-May-2026, and the ~100% 1-yr return cited 22-May-2026) could be tied to a specific date and price. For a proper event-study chart (price in a window around each announcement date), pull the daily closing price for the 5 days before/after each announcement from NSE historical data and compute the % reaction — the chart below plots the sparse real data points we do have as a starting frame; extend it once you have the daily series.</t>
        </is>
      </c>
    </row>
    <row r="23"/>
    <row r="24"/>
    <row r="25"/>
  </sheetData>
  <mergeCells count="3">
    <mergeCell ref="A1:D1"/>
    <mergeCell ref="A22:D25"/>
    <mergeCell ref="A2:D2"/>
  </mergeCells>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C55"/>
  <sheetViews>
    <sheetView workbookViewId="0">
      <selection activeCell="A1" sqref="A1"/>
    </sheetView>
  </sheetViews>
  <sheetFormatPr baseColWidth="8" defaultRowHeight="15"/>
  <sheetData>
    <row r="1">
      <c r="A1" t="inlineStr">
        <is>
          <t>Week Ending</t>
        </is>
      </c>
      <c r="B1" t="inlineStr">
        <is>
          <t>Adani Power (adj ₹)</t>
        </is>
      </c>
      <c r="C1" t="inlineStr">
        <is>
          <t>Event that week</t>
        </is>
      </c>
    </row>
    <row r="2">
      <c r="A2" t="inlineStr">
        <is>
          <t>2025-07-14</t>
        </is>
      </c>
      <c r="B2" t="n">
        <v>118.93</v>
      </c>
    </row>
    <row r="3">
      <c r="A3" t="inlineStr">
        <is>
          <t>2025-07-21</t>
        </is>
      </c>
      <c r="B3" t="n">
        <v>114</v>
      </c>
    </row>
    <row r="4">
      <c r="A4" t="inlineStr">
        <is>
          <t>2025-07-28</t>
        </is>
      </c>
      <c r="B4" t="n">
        <v>113.4</v>
      </c>
      <c r="C4" t="inlineStr">
        <is>
          <t>Q1 FY26 results + 1:5 split announced</t>
        </is>
      </c>
    </row>
    <row r="5">
      <c r="A5" t="inlineStr">
        <is>
          <t>2025-08-04</t>
        </is>
      </c>
      <c r="B5" t="n">
        <v>115.38</v>
      </c>
      <c r="C5" t="inlineStr">
        <is>
          <t>Q1 FY26 results + 1:5 split announced</t>
        </is>
      </c>
    </row>
    <row r="6">
      <c r="A6" t="inlineStr">
        <is>
          <t>2025-08-11</t>
        </is>
      </c>
      <c r="B6" t="n">
        <v>116.81</v>
      </c>
    </row>
    <row r="7">
      <c r="A7" t="inlineStr">
        <is>
          <t>2025-08-18</t>
        </is>
      </c>
      <c r="B7" t="n">
        <v>118.86</v>
      </c>
    </row>
    <row r="8">
      <c r="A8" t="inlineStr">
        <is>
          <t>2025-08-25</t>
        </is>
      </c>
      <c r="B8" t="n">
        <v>120.13</v>
      </c>
    </row>
    <row r="9">
      <c r="A9" t="inlineStr">
        <is>
          <t>2025-09-01</t>
        </is>
      </c>
      <c r="B9" t="n">
        <v>121.94</v>
      </c>
    </row>
    <row r="10">
      <c r="A10" t="inlineStr">
        <is>
          <t>2025-09-08</t>
        </is>
      </c>
      <c r="B10" t="n">
        <v>129.71</v>
      </c>
    </row>
    <row r="11">
      <c r="A11" t="inlineStr">
        <is>
          <t>2025-09-15</t>
        </is>
      </c>
      <c r="B11" t="n">
        <v>141.88</v>
      </c>
    </row>
    <row r="12">
      <c r="A12" t="inlineStr">
        <is>
          <t>2025-09-22</t>
        </is>
      </c>
      <c r="B12" t="n">
        <v>146.25</v>
      </c>
      <c r="C12" t="inlineStr">
        <is>
          <t>1:5 stock split effective</t>
        </is>
      </c>
    </row>
    <row r="13">
      <c r="A13" t="inlineStr">
        <is>
          <t>2025-09-29</t>
        </is>
      </c>
      <c r="B13" t="n">
        <v>147.38</v>
      </c>
    </row>
    <row r="14">
      <c r="A14" t="inlineStr">
        <is>
          <t>2025-10-06</t>
        </is>
      </c>
      <c r="B14" t="n">
        <v>149.7</v>
      </c>
    </row>
    <row r="15">
      <c r="A15" t="inlineStr">
        <is>
          <t>2025-10-13</t>
        </is>
      </c>
      <c r="B15" t="n">
        <v>165.98</v>
      </c>
    </row>
    <row r="16">
      <c r="A16" t="inlineStr">
        <is>
          <t>2025-10-20</t>
        </is>
      </c>
      <c r="B16" t="n">
        <v>167.72</v>
      </c>
    </row>
    <row r="17">
      <c r="A17" t="inlineStr">
        <is>
          <t>2025-10-27</t>
        </is>
      </c>
      <c r="B17" t="n">
        <v>157.85</v>
      </c>
      <c r="C17" t="inlineStr">
        <is>
          <t>Q2 FY26 results; 4.5 GW new PPAs</t>
        </is>
      </c>
    </row>
    <row r="18">
      <c r="A18" t="inlineStr">
        <is>
          <t>2025-11-03</t>
        </is>
      </c>
      <c r="B18" t="n">
        <v>151.48</v>
      </c>
      <c r="C18" t="inlineStr">
        <is>
          <t>Q2 FY26 results; 4.5 GW new PPAs</t>
        </is>
      </c>
    </row>
    <row r="19">
      <c r="A19" t="inlineStr">
        <is>
          <t>2025-11-10</t>
        </is>
      </c>
      <c r="B19" t="n">
        <v>153.91</v>
      </c>
      <c r="C19" t="inlineStr">
        <is>
          <t>Assam 3,200 MW LoA (~₹48,000cr)</t>
        </is>
      </c>
    </row>
    <row r="20">
      <c r="A20" t="inlineStr">
        <is>
          <t>2025-11-17</t>
        </is>
      </c>
      <c r="B20" t="n">
        <v>149.12</v>
      </c>
      <c r="C20" t="inlineStr">
        <is>
          <t>Assam 3,200 MW LoA (~₹48,000cr)</t>
        </is>
      </c>
    </row>
    <row r="21">
      <c r="A21" t="inlineStr">
        <is>
          <t>2025-11-24</t>
        </is>
      </c>
      <c r="B21" t="n">
        <v>147.49</v>
      </c>
      <c r="C21" t="inlineStr">
        <is>
          <t>JPVL resolution plan creditor approval</t>
        </is>
      </c>
    </row>
    <row r="22">
      <c r="A22" t="inlineStr">
        <is>
          <t>2025-12-01</t>
        </is>
      </c>
      <c r="B22" t="n">
        <v>143.78</v>
      </c>
    </row>
    <row r="23">
      <c r="A23" t="inlineStr">
        <is>
          <t>2025-12-08</t>
        </is>
      </c>
      <c r="B23" t="n">
        <v>144.49</v>
      </c>
    </row>
    <row r="24">
      <c r="A24" t="inlineStr">
        <is>
          <t>2025-12-15</t>
        </is>
      </c>
      <c r="B24" t="n">
        <v>141.76</v>
      </c>
    </row>
    <row r="25">
      <c r="A25" t="inlineStr">
        <is>
          <t>2025-12-22</t>
        </is>
      </c>
      <c r="B25" t="n">
        <v>142.19</v>
      </c>
    </row>
    <row r="26">
      <c r="A26" t="inlineStr">
        <is>
          <t>2025-12-29</t>
        </is>
      </c>
      <c r="B26" t="n">
        <v>148.17</v>
      </c>
    </row>
    <row r="27">
      <c r="A27" t="inlineStr">
        <is>
          <t>2026-01-05</t>
        </is>
      </c>
      <c r="B27" t="n">
        <v>141.68</v>
      </c>
    </row>
    <row r="28">
      <c r="A28" t="inlineStr">
        <is>
          <t>2026-01-12</t>
        </is>
      </c>
      <c r="B28" t="n">
        <v>142.63</v>
      </c>
    </row>
    <row r="29">
      <c r="A29" t="inlineStr">
        <is>
          <t>2026-01-19</t>
        </is>
      </c>
      <c r="B29" t="n">
        <v>132.96</v>
      </c>
    </row>
    <row r="30">
      <c r="A30" t="inlineStr">
        <is>
          <t>2026-01-26</t>
        </is>
      </c>
      <c r="B30" t="n">
        <v>132.85</v>
      </c>
    </row>
    <row r="31">
      <c r="A31" t="inlineStr">
        <is>
          <t>2026-02-02</t>
        </is>
      </c>
      <c r="B31" t="n">
        <v>152.74</v>
      </c>
    </row>
    <row r="32">
      <c r="A32" t="inlineStr">
        <is>
          <t>2026-02-09</t>
        </is>
      </c>
      <c r="B32" t="n">
        <v>139.9</v>
      </c>
      <c r="C32" t="inlineStr">
        <is>
          <t>Adani Atomic Energy incorporated</t>
        </is>
      </c>
    </row>
    <row r="33">
      <c r="A33" t="inlineStr">
        <is>
          <t>2026-02-16</t>
        </is>
      </c>
      <c r="B33" t="n">
        <v>142.7</v>
      </c>
      <c r="C33" t="inlineStr">
        <is>
          <t>Adani Atomic Energy incorporated</t>
        </is>
      </c>
    </row>
    <row r="34">
      <c r="A34" t="inlineStr">
        <is>
          <t>2026-02-23</t>
        </is>
      </c>
      <c r="B34" t="n">
        <v>140.11</v>
      </c>
    </row>
    <row r="35">
      <c r="A35" t="inlineStr">
        <is>
          <t>2026-03-02</t>
        </is>
      </c>
      <c r="B35" t="n">
        <v>138.99</v>
      </c>
    </row>
    <row r="36">
      <c r="A36" t="inlineStr">
        <is>
          <t>2026-03-09</t>
        </is>
      </c>
      <c r="B36" t="n">
        <v>146.57</v>
      </c>
      <c r="C36" t="inlineStr">
        <is>
          <t>NCLT approves JPVL plan</t>
        </is>
      </c>
    </row>
    <row r="37">
      <c r="A37" t="inlineStr">
        <is>
          <t>2026-03-16</t>
        </is>
      </c>
      <c r="B37" t="n">
        <v>151.54</v>
      </c>
      <c r="C37" t="inlineStr">
        <is>
          <t>NCLT approves JPVL plan</t>
        </is>
      </c>
    </row>
    <row r="38">
      <c r="A38" t="inlineStr">
        <is>
          <t>2026-03-23</t>
        </is>
      </c>
      <c r="B38" t="n">
        <v>153.92</v>
      </c>
    </row>
    <row r="39">
      <c r="A39" t="inlineStr">
        <is>
          <t>2026-03-30</t>
        </is>
      </c>
      <c r="B39" t="n">
        <v>159.97</v>
      </c>
    </row>
    <row r="40">
      <c r="A40" t="inlineStr">
        <is>
          <t>2026-04-06</t>
        </is>
      </c>
      <c r="B40" t="n">
        <v>175.81</v>
      </c>
    </row>
    <row r="41">
      <c r="A41" t="inlineStr">
        <is>
          <t>2026-04-13</t>
        </is>
      </c>
      <c r="B41" t="n">
        <v>198.5</v>
      </c>
    </row>
    <row r="42">
      <c r="A42" t="inlineStr">
        <is>
          <t>2026-04-20</t>
        </is>
      </c>
      <c r="B42" t="n">
        <v>212.9</v>
      </c>
    </row>
    <row r="43">
      <c r="A43" t="inlineStr">
        <is>
          <t>2026-04-27</t>
        </is>
      </c>
      <c r="B43" t="n">
        <v>221.85</v>
      </c>
      <c r="C43" t="inlineStr">
        <is>
          <t>Q4/FY26 results: PAT ₹12,971cr</t>
        </is>
      </c>
    </row>
    <row r="44">
      <c r="A44" t="inlineStr">
        <is>
          <t>2026-05-04</t>
        </is>
      </c>
      <c r="B44" t="n">
        <v>225.33</v>
      </c>
      <c r="C44" t="inlineStr">
        <is>
          <t>Q4/FY26 results: PAT ₹12,971cr</t>
        </is>
      </c>
    </row>
    <row r="45">
      <c r="A45" t="inlineStr">
        <is>
          <t>2026-05-11</t>
        </is>
      </c>
      <c r="B45" t="n">
        <v>221.33</v>
      </c>
      <c r="C45" t="inlineStr">
        <is>
          <t>52-wk high ₹234 intraday</t>
        </is>
      </c>
    </row>
    <row r="46">
      <c r="A46" t="inlineStr">
        <is>
          <t>2026-05-18</t>
        </is>
      </c>
      <c r="B46" t="n">
        <v>219.32</v>
      </c>
      <c r="C46" t="inlineStr">
        <is>
          <t>Profit-booking after ~100% 1-yr run</t>
        </is>
      </c>
    </row>
    <row r="47">
      <c r="A47" t="inlineStr">
        <is>
          <t>2026-05-25</t>
        </is>
      </c>
      <c r="B47" t="n">
        <v>243.37</v>
      </c>
      <c r="C47" t="inlineStr">
        <is>
          <t>Profit-booking after ~100% 1-yr run</t>
        </is>
      </c>
    </row>
    <row r="48">
      <c r="A48" t="inlineStr">
        <is>
          <t>2026-06-01</t>
        </is>
      </c>
      <c r="B48" t="n">
        <v>232.6</v>
      </c>
    </row>
    <row r="49">
      <c r="A49" t="inlineStr">
        <is>
          <t>2026-06-08</t>
        </is>
      </c>
      <c r="B49" t="n">
        <v>223.07</v>
      </c>
    </row>
    <row r="50">
      <c r="A50" t="inlineStr">
        <is>
          <t>2026-06-15</t>
        </is>
      </c>
      <c r="B50" t="n">
        <v>231.76</v>
      </c>
    </row>
    <row r="51">
      <c r="A51" t="inlineStr">
        <is>
          <t>2026-06-22</t>
        </is>
      </c>
      <c r="B51" t="n">
        <v>229.27</v>
      </c>
    </row>
    <row r="52">
      <c r="A52" t="inlineStr">
        <is>
          <t>2026-06-29</t>
        </is>
      </c>
      <c r="B52" t="n">
        <v>221.79</v>
      </c>
    </row>
    <row r="53">
      <c r="A53" t="inlineStr">
        <is>
          <t>2026-07-06</t>
        </is>
      </c>
      <c r="B53" t="n">
        <v>218.45</v>
      </c>
    </row>
    <row r="54">
      <c r="A54" t="inlineStr">
        <is>
          <t>2026-07-13</t>
        </is>
      </c>
      <c r="B54" t="n">
        <v>226.17</v>
      </c>
    </row>
    <row r="55">
      <c r="A55" t="inlineStr">
        <is>
          <t>2026-07-15</t>
        </is>
      </c>
      <c r="B55" t="n">
        <v>218.97</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cols>
    <col width="30" customWidth="1" min="1" max="1"/>
    <col width="70" customWidth="1" min="2" max="2"/>
  </cols>
  <sheetData>
    <row r="1" ht="24" customHeight="1">
      <c r="A1" s="7" t="inlineStr">
        <is>
          <t>13. Sources &amp; Data Gaps — READ BEFORE SUBMITTING</t>
        </is>
      </c>
    </row>
    <row r="2">
      <c r="A2" s="8" t="inlineStr"/>
    </row>
    <row r="3" ht="6" customHeight="1"/>
    <row r="5">
      <c r="A5" s="9" t="inlineStr">
        <is>
          <t>Methodology</t>
        </is>
      </c>
    </row>
    <row r="6" ht="115" customHeight="1">
      <c r="A6" s="14" t="inlineStr">
        <is>
          <t>This workbook was built using automated web search (news wires, brokerage research notes, exchange press releases, and secondary financial-data aggregators such as Trendlyne, ScanX, HDFC Sky, Business Standard, BusinessToday, Equitymaster) inside a sandboxed research session. Direct scripted/API access to the PRIMARY sources you were asked to use — screener.in, moneycontrol.com, NSE India (nseindia.com), BSE India (bseindia.com), and the companies' own Annual Report PDFs (adanipower.com, tatapower.com, torrentpower.com) — was blocked (HTTP 403) for automated fetches in this environment. All numbers not otherwise flagged therefore come from search-engine snippets of secondary coverage of those primary sources, not the primary documents themselves. UPDATE: the user subsequently uploaded the companies' actual Integrated Annual Report PDFs, and the analysis window was then NARROWED TO FY22-FY26 (the last five fiscal years) at the user's request — earlier-year data has been removed from this workbook. Within FY22-FY26, the consolidated Revenue/Total Income, PAT and Total Assets series (Sheet 2), the Ind AS 108 segment tables (Sheet 6), the AOC-1 group structure (Sheets 7-8) and the Investments detail (Sheet 9) are all PRIMARY-VERIFIED from the audited Annual Reports stored in this repo. Only the FY-end share-price rows in Sheet 2 remain to be filled (from NSE/Yahoo historical data).</t>
        </is>
      </c>
    </row>
    <row r="7"/>
    <row r="8"/>
    <row r="9"/>
    <row r="10"/>
    <row r="11"/>
    <row r="13">
      <c r="A13" s="23" t="inlineStr">
        <is>
          <t>Consolidated-vs-Standalone audit (line-by-line re-verification)</t>
        </is>
      </c>
    </row>
    <row r="14" ht="190" customHeight="1">
      <c r="A14" s="14" t="inlineStr">
        <is>
          <t>Every Revenue/Total Income, PAT and Total Assets figure in Sheet 2 (all 3 companies, FY22-FY26) and every Segment Revenue/Results/Assets figure in Sheet 6 was individually re-traced to its source PDF and confirmed to sit under an explicit 'Consolidated Balance Sheet' / 'Consolidated Statement of Profit and Loss' / 'Notes to (the) Consolidated Financial Statements' heading (not standalone) — verified via direct text search for these headings immediately preceding each figure in the extracted PDF text. ONE ERROR WAS FOUND AND FIXED in this pass: Sheet 9's Torrent Power current-investments figure had been pulled from the STANDALONE balance sheet notes (₹682.31cr) instead of the consolidated notes (₹787.75cr, ~₹105cr higher due to subsidiary-level mutual fund holdings) — this has been corrected. Adani Power and Tata Power's Sheet 9 figures were already confirmed consolidated. Two categories of data are DELIBERATELY standalone/parent-only, clearly labelled as such, and this is unavoidable (none of the three companies discloses these on a consolidated/group-wide basis anywhere in their Annual Reports): (1) Employee headcount rows in Sheet 2/3 — sourced from each company's Rule 5(1)/BRSR 'permanent employees on the rolls of the Company' disclosure, which is a standalone-entity statutory disclosure by definition; (2) Shareholding pattern in Sheet 5 — shareholding is inherently reported at the standalone listed-entity level for all Indian companies (there is no such thing as a 'consolidated' shareholding pattern). Sheets 4 (Acquisitions), 5 (Shareholding %s beyond promoter/pledge/named holders), 10 (Financing/credit-rating narrative) and 11-12 (share price/announcements) draw on recognized secondary sources (CRISIL/ICRA rating rationales, exchange filings summarized by Business Standard/BusinessToday, Yahoo Finance historical price data) rather than the Annual Report PDFs themselves, since this information (deal narratives, credit actions, daily prices) is not disclosed inside the audited financial statements — these are flagged inline where not yet independently cross-verified against a primary filing.</t>
        </is>
      </c>
    </row>
    <row r="15"/>
    <row r="16"/>
    <row r="17"/>
    <row r="18"/>
    <row r="19"/>
    <row r="20"/>
    <row r="21"/>
    <row r="22"/>
    <row r="23"/>
    <row r="25">
      <c r="A25" s="9" t="inlineStr">
        <is>
          <t>Priority list — verify these before submission</t>
        </is>
      </c>
    </row>
    <row r="26" ht="30" customHeight="1">
      <c r="A26" s="14" t="inlineStr">
        <is>
          <t>1. Year-end (31-Mar) share prices, FY22-FY26, all three companies — still not filled; pull from NSE historical data or Yahoo Finance (split-adjust Adani Power for its Sep-2025 1:5 split).</t>
        </is>
      </c>
    </row>
    <row r="27" ht="30" customHeight="1">
      <c r="A27" s="14" t="inlineStr">
        <is>
          <t>2. Total Assets — DONE: fully VERIFIED FY22-FY26 for all three companies from the Annual Reports.</t>
        </is>
      </c>
    </row>
    <row r="28" ht="30" customHeight="1">
      <c r="A28" s="14" t="inlineStr">
        <is>
          <t>3. Employee headcount — standalone-parent counts VERIFIED where disclosed (Adani FY23/25/26 — FY22/FY24 not disclosed in available reports; Tata FY22/23/25/26; Torrent FY22-FY26). Group-wide/consolidated headcount is not disclosed anywhere and would be needed for a true cross-company Sales/Employee comparison.</t>
        </is>
      </c>
    </row>
    <row r="29" ht="30" customHeight="1">
      <c r="A29" s="14" t="inlineStr">
        <is>
          <t>4. Segment-wise (Ind AS 108) tables — DONE: Sheet 6 carries verified segment revenue/results/assets for Adani Power and Tata Power (FY22-FY26), plus the verified finding that Torrent Power reports NO segments under Ind AS 108 (single integrated business).</t>
        </is>
      </c>
    </row>
    <row r="30" ht="30" customHeight="1">
      <c r="A30" s="14" t="inlineStr">
        <is>
          <t>5. Weekly price series — DONE: 54-week adjusted-close series for all 3 stocks + Nifty 50 + Nifty Energy parsed from Yahoo HTML files in the repo; returns, volatility, and market &amp; sector betas computed in Sheet 11. Still open: year-end FY22-FY26 share prices for the Sheet 2 growth table.</t>
        </is>
      </c>
    </row>
    <row r="31" ht="30" customHeight="1">
      <c r="A31" s="14" t="inlineStr">
        <is>
          <t>6. Shareholding pattern — Promoter %, promoter pledge (nil, all 3), and the single largest non-promoter &gt;5% holder are now VERIFIED as at 31-Mar-2026 from the Annual Reports for all three companies (Sheet 5). FII/DII category-level % breakdowns are still secondary-source/unverified — pull the full SHP table from each PDF or BSE/NSE XBRL filing if needed.</t>
        </is>
      </c>
    </row>
    <row r="32" ht="30" customHeight="1">
      <c r="A32" s="14" t="inlineStr">
        <is>
          <t>7. Subsidiary lists — DONE: Sheets 7-8 now carry the verified FY26 AOC-1 data (Adani 19 entities incl. Mahan at 94% and Moxie consolidated at 49%; Tata ~113 entities incl. TPREL at 88.57%; Torrent ~60 entities). Only Torrent's associates (Part B) remain unextracted.</t>
        </is>
      </c>
    </row>
    <row r="33" ht="30" customHeight="1">
      <c r="A33" s="14" t="inlineStr">
        <is>
          <t>8. Investments (ex subsidiaries/associates/JVs) as at 31-Mar-2023 — DONE: Sheet 9 now carries verified figures from all three FY23 Annual Reports (Adani ₹42.51cr non-current + ₹611.54cr MFs; Tata ₹1,301.21cr; Torrent ₹15.94cr bonds + ₹682.31cr current).</t>
        </is>
      </c>
    </row>
    <row r="34" ht="30" customHeight="1">
      <c r="A34" s="14" t="inlineStr">
        <is>
          <t>9. Promoter pledge status — now VERIFIED as NIL for all three companies as at FY26 (Sheet 5), from the Annual Reports.</t>
        </is>
      </c>
    </row>
    <row r="35" ht="30" customHeight="1">
      <c r="A35" s="14" t="inlineStr">
        <is>
          <t>10. Exact announcement dates + daily price reaction for Adani Power's major events (Sheet 12) — cross-check against BSE corporate announcements page.</t>
        </is>
      </c>
    </row>
    <row r="37">
      <c r="A37" s="9" t="inlineStr">
        <is>
          <t>Key sources cited across this workbook (non-exhaustive)</t>
        </is>
      </c>
    </row>
    <row r="38">
      <c r="A38" s="14" t="inlineStr">
        <is>
          <t>Business Standard (business-standard.com) — quarterly results coverage, all 3 companies</t>
        </is>
      </c>
    </row>
    <row r="39">
      <c r="A39" s="14" t="inlineStr">
        <is>
          <t>BusinessToday (businesstoday.in) — results, stock-move coverage</t>
        </is>
      </c>
    </row>
    <row r="40">
      <c r="A40" s="14" t="inlineStr">
        <is>
          <t>Equitymaster (equitymaster.com) — annual report analyses (Torrent Power, Tata Power)</t>
        </is>
      </c>
    </row>
    <row r="41">
      <c r="A41" s="14" t="inlineStr">
        <is>
          <t>CRISIL Ratings (crisil.com) — rating rationales for all 3 companies</t>
        </is>
      </c>
    </row>
    <row r="42">
      <c r="A42" s="14" t="inlineStr">
        <is>
          <t>Trendlyne, ScanX, HDFC Sky, Kotak Neo, ICICI Direct, Groww — shareholding, price, beta/volatility snapshots</t>
        </is>
      </c>
    </row>
    <row r="43">
      <c r="A43" s="14" t="inlineStr">
        <is>
          <t>Mercom India, Saurenergy, PV Magazine India — renewable/PPA/project news</t>
        </is>
      </c>
    </row>
    <row r="44">
      <c r="A44" s="14" t="inlineStr">
        <is>
          <t>NSE India, BSE India (nseindia.com, bseindia.com) — REFERENCED but not directly fetchable in this session; primary source for final verification</t>
        </is>
      </c>
    </row>
    <row r="45">
      <c r="A45" s="14" t="inlineStr">
        <is>
          <t>screener.in, moneycontrol.com — REFERENCED but not directly fetchable in this session; primary source for financial-statement data</t>
        </is>
      </c>
    </row>
  </sheetData>
  <mergeCells count="22">
    <mergeCell ref="A30:B30"/>
    <mergeCell ref="A6:B11"/>
    <mergeCell ref="A45:B45"/>
    <mergeCell ref="A1:B1"/>
    <mergeCell ref="A41:B41"/>
    <mergeCell ref="A27:B27"/>
    <mergeCell ref="A26:B26"/>
    <mergeCell ref="A2:B2"/>
    <mergeCell ref="A33:B33"/>
    <mergeCell ref="A14:B23"/>
    <mergeCell ref="A42:B42"/>
    <mergeCell ref="A32:B32"/>
    <mergeCell ref="A35:B35"/>
    <mergeCell ref="A38:B38"/>
    <mergeCell ref="A29:B29"/>
    <mergeCell ref="A43:B43"/>
    <mergeCell ref="A28:B28"/>
    <mergeCell ref="A44:B44"/>
    <mergeCell ref="A40:B40"/>
    <mergeCell ref="A31:B31"/>
    <mergeCell ref="A39:B39"/>
    <mergeCell ref="A34:B34"/>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5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s>
  <sheetData>
    <row r="1">
      <c r="A1" s="4" t="inlineStr">
        <is>
          <t>ADANI POWER LIMITED — Consolidated Balance Sheet</t>
        </is>
      </c>
    </row>
    <row r="2" ht="30" customHeight="1">
      <c r="A2" s="25" t="inlineStr">
        <is>
          <t>Source: Adani Power Ltd FY2022-23 Integrated Annual Report, 'Consolidated Balance Sheet as at 31st March, 2023' (repo file: AR_22088_ADANIPOWER_2022_2023). NOTE: an earlier draft sheet in this workbook ('Sheet5') showed Adani Power's STANDALONE balance sheet mislabeled — this sheet replaces it with the genuine consolidated figures.</t>
        </is>
      </c>
    </row>
    <row r="4">
      <c r="A4" s="26" t="inlineStr">
        <is>
          <t>Particulars (₹ crore)</t>
        </is>
      </c>
      <c r="B4" s="27" t="inlineStr">
        <is>
          <t>As at 31-Mar-2023</t>
        </is>
      </c>
      <c r="C4" s="27" t="inlineStr">
        <is>
          <t>As at 31-Mar-2022</t>
        </is>
      </c>
    </row>
    <row r="5">
      <c r="A5" s="28" t="inlineStr">
        <is>
          <t>ASSETS</t>
        </is>
      </c>
      <c r="B5" s="11" t="n"/>
      <c r="C5" s="11" t="n"/>
    </row>
    <row r="6">
      <c r="A6" s="28" t="inlineStr">
        <is>
          <t>Non-current Assets</t>
        </is>
      </c>
      <c r="B6" s="11" t="n"/>
      <c r="C6" s="11" t="n"/>
    </row>
    <row r="7">
      <c r="A7" s="29" t="inlineStr">
        <is>
          <t>Property, Plant and Equipment</t>
        </is>
      </c>
      <c r="B7" s="30" t="n">
        <v>50543.8</v>
      </c>
      <c r="C7" s="30" t="n">
        <v>53071.62</v>
      </c>
    </row>
    <row r="8">
      <c r="A8" s="29" t="inlineStr">
        <is>
          <t>Capital Work-in-Progress</t>
        </is>
      </c>
      <c r="B8" s="30" t="n">
        <v>12879.54</v>
      </c>
      <c r="C8" s="30" t="n">
        <v>10269.74</v>
      </c>
    </row>
    <row r="9">
      <c r="A9" s="29" t="inlineStr">
        <is>
          <t>Investment Property</t>
        </is>
      </c>
      <c r="B9" s="30" t="n">
        <v>704.9400000000001</v>
      </c>
      <c r="C9" s="30" t="n">
        <v>0</v>
      </c>
    </row>
    <row r="10">
      <c r="A10" s="29" t="inlineStr">
        <is>
          <t>Goodwill</t>
        </is>
      </c>
      <c r="B10" s="30" t="n">
        <v>190.61</v>
      </c>
      <c r="C10" s="30" t="n">
        <v>190.61</v>
      </c>
    </row>
    <row r="11">
      <c r="A11" s="29" t="inlineStr">
        <is>
          <t>Other Intangible Assets</t>
        </is>
      </c>
      <c r="B11" s="30" t="n">
        <v>12.03</v>
      </c>
      <c r="C11" s="30" t="n">
        <v>11.98</v>
      </c>
    </row>
    <row r="12">
      <c r="A12" s="29" t="inlineStr">
        <is>
          <t>Investments (Non-current)</t>
        </is>
      </c>
      <c r="B12" s="30" t="n">
        <v>42.51</v>
      </c>
      <c r="C12" s="30" t="n">
        <v>0.01</v>
      </c>
    </row>
    <row r="13">
      <c r="A13" s="29" t="inlineStr">
        <is>
          <t>Other Financial Assets (Non-current)</t>
        </is>
      </c>
      <c r="B13" s="30" t="n">
        <v>779.71</v>
      </c>
      <c r="C13" s="30" t="n">
        <v>856.04</v>
      </c>
    </row>
    <row r="14">
      <c r="A14" s="29" t="inlineStr">
        <is>
          <t>Other Non-current Assets</t>
        </is>
      </c>
      <c r="B14" s="30" t="n">
        <v>1115.13</v>
      </c>
      <c r="C14" s="30" t="n">
        <v>1352.95</v>
      </c>
    </row>
    <row r="15">
      <c r="A15" s="15" t="inlineStr">
        <is>
          <t>Total Non-current Assets</t>
        </is>
      </c>
      <c r="B15" s="31" t="n">
        <v>66268.27</v>
      </c>
      <c r="C15" s="31" t="n">
        <v>65752.95</v>
      </c>
    </row>
    <row r="16">
      <c r="A16" s="28" t="inlineStr">
        <is>
          <t>Current Assets</t>
        </is>
      </c>
      <c r="B16" s="11" t="n"/>
      <c r="C16" s="11" t="n"/>
    </row>
    <row r="17">
      <c r="A17" s="29" t="inlineStr">
        <is>
          <t>Inventories</t>
        </is>
      </c>
      <c r="B17" s="30" t="n">
        <v>3075.2</v>
      </c>
      <c r="C17" s="30" t="n">
        <v>2258.27</v>
      </c>
    </row>
    <row r="18">
      <c r="A18" s="29" t="inlineStr">
        <is>
          <t>Investments (Current)</t>
        </is>
      </c>
      <c r="B18" s="30" t="n">
        <v>611.54</v>
      </c>
      <c r="C18" s="30" t="n">
        <v>183.24</v>
      </c>
    </row>
    <row r="19">
      <c r="A19" s="29" t="inlineStr">
        <is>
          <t>Trade Receivables</t>
        </is>
      </c>
      <c r="B19" s="30" t="n">
        <v>11529.36</v>
      </c>
      <c r="C19" s="30" t="n">
        <v>9560.92</v>
      </c>
    </row>
    <row r="20">
      <c r="A20" s="29" t="inlineStr">
        <is>
          <t>Cash and Cash Equivalents</t>
        </is>
      </c>
      <c r="B20" s="30" t="n">
        <v>349.23</v>
      </c>
      <c r="C20" s="30" t="n">
        <v>782.37</v>
      </c>
    </row>
    <row r="21">
      <c r="A21" s="29" t="inlineStr">
        <is>
          <t>Bank Balances other than above</t>
        </is>
      </c>
      <c r="B21" s="30" t="n">
        <v>1524.42</v>
      </c>
      <c r="C21" s="30" t="n">
        <v>1582.31</v>
      </c>
    </row>
    <row r="22">
      <c r="A22" s="29" t="inlineStr">
        <is>
          <t>Loans (Current)</t>
        </is>
      </c>
      <c r="B22" s="30" t="n">
        <v>3.19</v>
      </c>
      <c r="C22" s="30" t="n">
        <v>7.62</v>
      </c>
    </row>
    <row r="23">
      <c r="A23" s="29" t="inlineStr">
        <is>
          <t>Other Financial Assets (Current)</t>
        </is>
      </c>
      <c r="B23" s="30" t="n">
        <v>557.5</v>
      </c>
      <c r="C23" s="30" t="n">
        <v>308.28</v>
      </c>
    </row>
    <row r="24">
      <c r="A24" s="29" t="inlineStr">
        <is>
          <t>Other Current Assets</t>
        </is>
      </c>
      <c r="B24" s="30" t="n">
        <v>1902.56</v>
      </c>
      <c r="C24" s="30" t="n">
        <v>1545.06</v>
      </c>
    </row>
    <row r="25">
      <c r="A25" s="15" t="inlineStr">
        <is>
          <t>Total Current Assets</t>
        </is>
      </c>
      <c r="B25" s="31" t="n">
        <v>19553</v>
      </c>
      <c r="C25" s="31" t="n">
        <v>16228.07</v>
      </c>
    </row>
    <row r="26">
      <c r="A26" s="15" t="inlineStr">
        <is>
          <t>TOTAL ASSETS</t>
        </is>
      </c>
      <c r="B26" s="31" t="n">
        <v>85821.27</v>
      </c>
      <c r="C26" s="31" t="n">
        <v>81981.02</v>
      </c>
    </row>
    <row r="27">
      <c r="A27" s="28" t="inlineStr">
        <is>
          <t>EQUITY AND LIABILITIES</t>
        </is>
      </c>
      <c r="B27" s="11" t="n"/>
      <c r="C27" s="11" t="n"/>
    </row>
    <row r="28">
      <c r="A28" s="29" t="inlineStr">
        <is>
          <t>Equity Share Capital</t>
        </is>
      </c>
      <c r="B28" s="30" t="n">
        <v>3856.94</v>
      </c>
      <c r="C28" s="30" t="n">
        <v>3856.94</v>
      </c>
    </row>
    <row r="29">
      <c r="A29" s="29" t="inlineStr">
        <is>
          <t>Unsecured Perpetual Securities</t>
        </is>
      </c>
      <c r="B29" s="30" t="n">
        <v>13215</v>
      </c>
      <c r="C29" s="30" t="n">
        <v>13215</v>
      </c>
    </row>
    <row r="30">
      <c r="A30" s="29" t="inlineStr">
        <is>
          <t>Other Equity</t>
        </is>
      </c>
      <c r="B30" s="30" t="n">
        <v>12803.72</v>
      </c>
      <c r="C30" s="30" t="n">
        <v>1631.5</v>
      </c>
    </row>
    <row r="31">
      <c r="A31" s="29" t="inlineStr">
        <is>
          <t>Equity attributable to equity holders of the parent</t>
        </is>
      </c>
      <c r="B31" s="30" t="n">
        <v>29875.66</v>
      </c>
      <c r="C31" s="30" t="n">
        <v>18703.44</v>
      </c>
    </row>
    <row r="32">
      <c r="A32" s="29" t="inlineStr">
        <is>
          <t>Non-Controlling Interests</t>
        </is>
      </c>
      <c r="B32" s="30" t="n">
        <v>0</v>
      </c>
      <c r="C32" s="30" t="n">
        <v>0</v>
      </c>
    </row>
    <row r="33">
      <c r="A33" s="15" t="inlineStr">
        <is>
          <t>Total Equity</t>
        </is>
      </c>
      <c r="B33" s="31" t="n">
        <v>29875.66</v>
      </c>
      <c r="C33" s="31" t="n">
        <v>18703.44</v>
      </c>
    </row>
    <row r="34">
      <c r="A34" s="28" t="inlineStr">
        <is>
          <t>Non-current Liabilities</t>
        </is>
      </c>
      <c r="B34" s="11" t="n"/>
      <c r="C34" s="11" t="n"/>
    </row>
    <row r="35">
      <c r="A35" s="29" t="inlineStr">
        <is>
          <t>Borrowings (Non-current)</t>
        </is>
      </c>
      <c r="B35" s="30" t="n">
        <v>33702.6</v>
      </c>
      <c r="C35" s="30" t="n">
        <v>37871.32</v>
      </c>
    </row>
    <row r="36">
      <c r="A36" s="29" t="inlineStr">
        <is>
          <t>Lease Liabilities (Non-current)</t>
        </is>
      </c>
      <c r="B36" s="30" t="n">
        <v>88.31999999999999</v>
      </c>
      <c r="C36" s="30" t="n">
        <v>94.36</v>
      </c>
    </row>
    <row r="37">
      <c r="A37" s="29" t="inlineStr">
        <is>
          <t>Other Financial Liabilities (Non-current)</t>
        </is>
      </c>
      <c r="B37" s="30" t="n">
        <v>0</v>
      </c>
      <c r="C37" s="30" t="n">
        <v>960.37</v>
      </c>
    </row>
    <row r="38">
      <c r="A38" s="29" t="inlineStr">
        <is>
          <t>Provisions (Non-current)</t>
        </is>
      </c>
      <c r="B38" s="30" t="n">
        <v>226.95</v>
      </c>
      <c r="C38" s="30" t="n">
        <v>220.87</v>
      </c>
    </row>
    <row r="39">
      <c r="A39" s="29" t="inlineStr">
        <is>
          <t>Deferred Tax Liabilities (Net)</t>
        </is>
      </c>
      <c r="B39" s="30" t="n">
        <v>0</v>
      </c>
      <c r="C39" s="30" t="n">
        <v>2499.78</v>
      </c>
    </row>
    <row r="40">
      <c r="A40" s="29" t="inlineStr">
        <is>
          <t>Other Non-current Liabilities</t>
        </is>
      </c>
      <c r="B40" s="30" t="n">
        <v>4183.15</v>
      </c>
      <c r="C40" s="30" t="n">
        <v>4487.21</v>
      </c>
    </row>
    <row r="41">
      <c r="A41" s="15" t="inlineStr">
        <is>
          <t>Total Non-current Liabilities</t>
        </is>
      </c>
      <c r="B41" s="31" t="n">
        <v>38201.02</v>
      </c>
      <c r="C41" s="31" t="n">
        <v>46133.91</v>
      </c>
    </row>
    <row r="42">
      <c r="A42" s="28" t="inlineStr">
        <is>
          <t>Current Liabilities</t>
        </is>
      </c>
      <c r="B42" s="11" t="n"/>
      <c r="C42" s="11" t="n"/>
    </row>
    <row r="43">
      <c r="A43" s="29" t="inlineStr">
        <is>
          <t>Borrowings (Current)</t>
        </is>
      </c>
      <c r="B43" s="30" t="n">
        <v>8549.450000000001</v>
      </c>
      <c r="C43" s="30" t="n">
        <v>10924.36</v>
      </c>
    </row>
    <row r="44">
      <c r="A44" s="29" t="inlineStr">
        <is>
          <t>Lease Liabilities (Current)</t>
        </is>
      </c>
      <c r="B44" s="30" t="n">
        <v>9.16</v>
      </c>
      <c r="C44" s="30" t="n">
        <v>8.390000000000001</v>
      </c>
    </row>
    <row r="45">
      <c r="A45" s="29" t="inlineStr">
        <is>
          <t>Trade Payables — micro/small enterprises</t>
        </is>
      </c>
      <c r="B45" s="30" t="n">
        <v>95.76000000000001</v>
      </c>
      <c r="C45" s="30" t="n">
        <v>57.59</v>
      </c>
    </row>
    <row r="46">
      <c r="A46" s="29" t="inlineStr">
        <is>
          <t>Trade Payables — other creditors</t>
        </is>
      </c>
      <c r="B46" s="30" t="n">
        <v>2983.69</v>
      </c>
      <c r="C46" s="30" t="n">
        <v>3450.62</v>
      </c>
    </row>
    <row r="47">
      <c r="A47" s="29" t="inlineStr">
        <is>
          <t>Other Financial Liabilities (Current)</t>
        </is>
      </c>
      <c r="B47" s="30" t="n">
        <v>2461.58</v>
      </c>
      <c r="C47" s="30" t="n">
        <v>1167.32</v>
      </c>
    </row>
    <row r="48">
      <c r="A48" s="29" t="inlineStr">
        <is>
          <t>Other Current Liabilities</t>
        </is>
      </c>
      <c r="B48" s="30" t="n">
        <v>3622.82</v>
      </c>
      <c r="C48" s="30" t="n">
        <v>861.36</v>
      </c>
    </row>
    <row r="49">
      <c r="A49" s="29" t="inlineStr">
        <is>
          <t>Provisions (Current)</t>
        </is>
      </c>
      <c r="B49" s="30" t="n">
        <v>21.64</v>
      </c>
      <c r="C49" s="30" t="n">
        <v>28.71</v>
      </c>
    </row>
    <row r="50">
      <c r="A50" s="29" t="inlineStr">
        <is>
          <t>Current Tax Liabilities (Net)</t>
        </is>
      </c>
      <c r="B50" s="30" t="n">
        <v>0.49</v>
      </c>
      <c r="C50" s="30" t="n">
        <v>645.3200000000001</v>
      </c>
    </row>
    <row r="51">
      <c r="A51" s="15" t="inlineStr">
        <is>
          <t>Total Current Liabilities</t>
        </is>
      </c>
      <c r="B51" s="31" t="n">
        <v>17744.59</v>
      </c>
      <c r="C51" s="31" t="n">
        <v>17143.67</v>
      </c>
    </row>
    <row r="52">
      <c r="A52" s="15" t="inlineStr">
        <is>
          <t>Total Liabilities</t>
        </is>
      </c>
      <c r="B52" s="31" t="n">
        <v>55945.61</v>
      </c>
      <c r="C52" s="31" t="n">
        <v>63277.58</v>
      </c>
    </row>
    <row r="53">
      <c r="A53" s="15" t="inlineStr">
        <is>
          <t>TOTAL EQUITY AND LIABILITIES</t>
        </is>
      </c>
      <c r="B53" s="31" t="n">
        <v>85821.27</v>
      </c>
      <c r="C53" s="31" t="n">
        <v>81981.02</v>
      </c>
    </row>
  </sheetData>
  <mergeCells count="2">
    <mergeCell ref="A1:C1"/>
    <mergeCell ref="A2:C2"/>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6"/>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s>
  <sheetData>
    <row r="1">
      <c r="A1" s="4" t="inlineStr">
        <is>
          <t>ADANI POWER LIMITED — Consolidated Statement of Profit and Loss</t>
        </is>
      </c>
    </row>
    <row r="2" ht="30" customHeight="1">
      <c r="A2" s="25" t="inlineStr">
        <is>
          <t>Source: Adani Power Ltd FY2022-23 Integrated Annual Report, 'Consolidated Statement of Profit and Loss for the year ended 31st March, 2023' (repo file: AR_22088_ADANIPOWER_2022_2023). NOTE: replaces an earlier draft sheet ('Consolidated Profit and loss st...') that was mislabeled and actually contained Adani Power's STANDALONE figures (PAT ₹10,246.15cr FY23) — the genuine consolidated PAT is ₹10,726.64cr.</t>
        </is>
      </c>
    </row>
    <row r="4">
      <c r="A4" s="26" t="inlineStr">
        <is>
          <t>Particulars (₹ crore)</t>
        </is>
      </c>
      <c r="B4" s="27" t="inlineStr">
        <is>
          <t>Year ended 31-Mar-2023</t>
        </is>
      </c>
      <c r="C4" s="27" t="inlineStr">
        <is>
          <t>Year ended 31-Mar-2022</t>
        </is>
      </c>
    </row>
    <row r="5">
      <c r="A5" s="28" t="inlineStr">
        <is>
          <t>Income</t>
        </is>
      </c>
      <c r="B5" s="11" t="n"/>
      <c r="C5" s="11" t="n"/>
    </row>
    <row r="6">
      <c r="A6" s="29" t="inlineStr">
        <is>
          <t>Revenue from Operations</t>
        </is>
      </c>
      <c r="B6" s="30" t="n">
        <v>38773.3</v>
      </c>
      <c r="C6" s="30" t="n">
        <v>27711.18</v>
      </c>
    </row>
    <row r="7">
      <c r="A7" s="29" t="inlineStr">
        <is>
          <t>Other Income</t>
        </is>
      </c>
      <c r="B7" s="30" t="n">
        <v>4267.22</v>
      </c>
      <c r="C7" s="30" t="n">
        <v>3975.29</v>
      </c>
    </row>
    <row r="8">
      <c r="A8" s="15" t="inlineStr">
        <is>
          <t>Total Income</t>
        </is>
      </c>
      <c r="B8" s="31" t="n">
        <v>43040.52</v>
      </c>
      <c r="C8" s="31" t="n">
        <v>31686.47</v>
      </c>
    </row>
    <row r="9">
      <c r="A9" s="28" t="inlineStr">
        <is>
          <t>Expenses</t>
        </is>
      </c>
      <c r="B9" s="11" t="n"/>
      <c r="C9" s="11" t="n"/>
    </row>
    <row r="10">
      <c r="A10" s="29" t="inlineStr">
        <is>
          <t>Fuel Cost</t>
        </is>
      </c>
      <c r="B10" s="30" t="n">
        <v>25480.85</v>
      </c>
      <c r="C10" s="30" t="n">
        <v>14762.21</v>
      </c>
    </row>
    <row r="11">
      <c r="A11" s="29" t="inlineStr">
        <is>
          <t>Purchase of Stock-in-trade / Power for resale</t>
        </is>
      </c>
      <c r="B11" s="30" t="n">
        <v>214.14</v>
      </c>
      <c r="C11" s="30" t="n">
        <v>545.5599999999999</v>
      </c>
    </row>
    <row r="12">
      <c r="A12" s="29" t="inlineStr">
        <is>
          <t>Transmission Charges</t>
        </is>
      </c>
      <c r="B12" s="30" t="n">
        <v>519.61</v>
      </c>
      <c r="C12" s="30" t="n">
        <v>642.77</v>
      </c>
    </row>
    <row r="13">
      <c r="A13" s="29" t="inlineStr">
        <is>
          <t>Employee Benefits Expense</t>
        </is>
      </c>
      <c r="B13" s="30" t="n">
        <v>569.99</v>
      </c>
      <c r="C13" s="30" t="n">
        <v>470.31</v>
      </c>
    </row>
    <row r="14">
      <c r="A14" s="29" t="inlineStr">
        <is>
          <t>Finance Costs (net)</t>
        </is>
      </c>
      <c r="B14" s="30" t="n">
        <v>3333.5</v>
      </c>
      <c r="C14" s="30" t="n">
        <v>4094.78</v>
      </c>
    </row>
    <row r="15">
      <c r="A15" s="29" t="inlineStr">
        <is>
          <t>Depreciation and Amortisation Expense</t>
        </is>
      </c>
      <c r="B15" s="30" t="n">
        <v>3303.68</v>
      </c>
      <c r="C15" s="30" t="n">
        <v>3117.54</v>
      </c>
    </row>
    <row r="16">
      <c r="A16" s="29" t="inlineStr">
        <is>
          <t>Other Expenses</t>
        </is>
      </c>
      <c r="B16" s="30" t="n">
        <v>1944.05</v>
      </c>
      <c r="C16" s="30" t="n">
        <v>1476.17</v>
      </c>
    </row>
    <row r="17">
      <c r="A17" s="15" t="inlineStr">
        <is>
          <t>Total Expenses</t>
        </is>
      </c>
      <c r="B17" s="31" t="n">
        <v>35365.82</v>
      </c>
      <c r="C17" s="31" t="n">
        <v>25109.34</v>
      </c>
    </row>
    <row r="18">
      <c r="A18" s="29" t="inlineStr">
        <is>
          <t>Profit before tax and deferred tax (adj.)/recoverable from future tariff</t>
        </is>
      </c>
      <c r="B18" s="30" t="n">
        <v>7674.7</v>
      </c>
      <c r="C18" s="30" t="n">
        <v>6577.13</v>
      </c>
    </row>
    <row r="19">
      <c r="A19" s="29" t="inlineStr">
        <is>
          <t>Current Tax</t>
        </is>
      </c>
      <c r="B19" s="30" t="n">
        <v>0.58</v>
      </c>
      <c r="C19" s="30" t="n">
        <v>768.34</v>
      </c>
    </row>
    <row r="20">
      <c r="A20" s="29" t="inlineStr">
        <is>
          <t>Tax credit adjusted relating to earlier years</t>
        </is>
      </c>
      <c r="B20" s="30" t="n">
        <v>-768.1799999999999</v>
      </c>
      <c r="C20" s="30" t="n">
        <v>-0.11</v>
      </c>
    </row>
    <row r="21">
      <c r="A21" s="29" t="inlineStr">
        <is>
          <t>Deferred Tax (credit)/charge (incl. earlier-year adj.)</t>
        </is>
      </c>
      <c r="B21" s="30" t="n">
        <v>-2499.77</v>
      </c>
      <c r="C21" s="30" t="n">
        <v>976.5700000000001</v>
      </c>
    </row>
    <row r="22">
      <c r="A22" s="15" t="inlineStr">
        <is>
          <t>Total Tax (Credit)/Expense</t>
        </is>
      </c>
      <c r="B22" s="31" t="n">
        <v>-3267.37</v>
      </c>
      <c r="C22" s="31" t="n">
        <v>1744.8</v>
      </c>
    </row>
    <row r="23">
      <c r="A23" s="29" t="inlineStr">
        <is>
          <t>Add: Deferred tax (adj.)/recoverable from future tariff (net of tax)</t>
        </is>
      </c>
      <c r="B23" s="30" t="n">
        <v>-215.43</v>
      </c>
      <c r="C23" s="30" t="n">
        <v>79.25</v>
      </c>
    </row>
    <row r="24">
      <c r="A24" s="15" t="inlineStr">
        <is>
          <t>Profit for the Year (PAT)</t>
        </is>
      </c>
      <c r="B24" s="31" t="n">
        <v>10726.64</v>
      </c>
      <c r="C24" s="31" t="n">
        <v>4911.58</v>
      </c>
    </row>
    <row r="25">
      <c r="A25" s="29" t="inlineStr">
        <is>
          <t>Other Comprehensive Income, net of tax</t>
        </is>
      </c>
      <c r="B25" s="30" t="n">
        <v>33.74</v>
      </c>
      <c r="C25" s="30" t="n">
        <v>43.63</v>
      </c>
    </row>
    <row r="26">
      <c r="A26" s="15" t="inlineStr">
        <is>
          <t>Total Comprehensive Income for the Year</t>
        </is>
      </c>
      <c r="B26" s="31" t="n">
        <v>10760.38</v>
      </c>
      <c r="C26" s="31" t="n">
        <v>4955.21</v>
      </c>
    </row>
  </sheetData>
  <mergeCells count="2">
    <mergeCell ref="A1:C1"/>
    <mergeCell ref="A2:C2"/>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65"/>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4" t="inlineStr">
        <is>
          <t>THE TATA POWER COMPANY LIMITED — Consolidated Balance Sheet</t>
        </is>
      </c>
    </row>
    <row r="2" ht="30" customHeight="1">
      <c r="A2" s="25" t="inlineStr">
        <is>
          <t>Sources: Tata Power Integrated Annual Reports FY21-22 (AR_20052), FY23-24 (AR_24164) and FY25-26 (AR_29380) — 'Consolidated Balance Sheet' as at each year-end. Fills the FY24/FY25 gaps left blank in the team's original 'Tata Power' draft sheet; FY22/23/26 figures cross-checked and match.</t>
        </is>
      </c>
    </row>
    <row r="4">
      <c r="A4" s="26" t="inlineStr">
        <is>
          <t>Particulars (₹ crore)</t>
        </is>
      </c>
      <c r="B4" s="27" t="inlineStr">
        <is>
          <t>Mar-2026</t>
        </is>
      </c>
      <c r="C4" s="27" t="inlineStr">
        <is>
          <t>Mar-2025</t>
        </is>
      </c>
      <c r="D4" s="27" t="inlineStr">
        <is>
          <t>Mar-2024</t>
        </is>
      </c>
      <c r="E4" s="27" t="inlineStr">
        <is>
          <t>Mar-2023</t>
        </is>
      </c>
      <c r="F4" s="27" t="inlineStr">
        <is>
          <t>Mar-2022</t>
        </is>
      </c>
    </row>
    <row r="5">
      <c r="A5" s="28" t="inlineStr">
        <is>
          <t>ASSETS</t>
        </is>
      </c>
      <c r="B5" s="11" t="n"/>
      <c r="C5" s="11" t="n"/>
      <c r="D5" s="11" t="n"/>
      <c r="E5" s="11" t="n"/>
      <c r="F5" s="11" t="n"/>
    </row>
    <row r="6">
      <c r="A6" s="28" t="inlineStr">
        <is>
          <t>Non-current Assets</t>
        </is>
      </c>
      <c r="B6" s="11" t="n"/>
      <c r="C6" s="11" t="n"/>
      <c r="D6" s="11" t="n"/>
      <c r="E6" s="11" t="n"/>
      <c r="F6" s="11" t="n"/>
    </row>
    <row r="7">
      <c r="A7" s="29" t="inlineStr">
        <is>
          <t>Property, Plant and Equipment</t>
        </is>
      </c>
      <c r="B7" s="30" t="n">
        <v>78870.53999999999</v>
      </c>
      <c r="C7" s="30" t="n">
        <v>70261.38</v>
      </c>
      <c r="D7" s="30" t="n">
        <v>59624.06</v>
      </c>
      <c r="E7" s="30" t="n">
        <v>54524.96</v>
      </c>
      <c r="F7" s="30" t="n">
        <v>50502.96</v>
      </c>
    </row>
    <row r="8">
      <c r="A8" s="29" t="inlineStr">
        <is>
          <t>Right of Use Assets</t>
        </is>
      </c>
      <c r="B8" s="30" t="n">
        <v>5525.44</v>
      </c>
      <c r="C8" s="30" t="n">
        <v>5089.89</v>
      </c>
      <c r="D8" s="30" t="n">
        <v>4368.75</v>
      </c>
      <c r="E8" s="30" t="n">
        <v>3982.05</v>
      </c>
      <c r="F8" s="30" t="n">
        <v>3661.99</v>
      </c>
    </row>
    <row r="9">
      <c r="A9" s="29" t="inlineStr">
        <is>
          <t>Capital Work-in-Progress</t>
        </is>
      </c>
      <c r="B9" s="30" t="n">
        <v>14595.13</v>
      </c>
      <c r="C9" s="30" t="n">
        <v>12678.87</v>
      </c>
      <c r="D9" s="30" t="n">
        <v>11561.31</v>
      </c>
      <c r="E9" s="30" t="n">
        <v>5376.36</v>
      </c>
      <c r="F9" s="30" t="n">
        <v>4635.1</v>
      </c>
    </row>
    <row r="10">
      <c r="A10" s="29" t="inlineStr">
        <is>
          <t>Goodwill</t>
        </is>
      </c>
      <c r="B10" s="30" t="n">
        <v>1651.46</v>
      </c>
      <c r="C10" s="30" t="n">
        <v>1651.46</v>
      </c>
      <c r="D10" s="30" t="n">
        <v>1757.46</v>
      </c>
      <c r="E10" s="30" t="n">
        <v>1858.31</v>
      </c>
      <c r="F10" s="30" t="n">
        <v>1858.31</v>
      </c>
    </row>
    <row r="11">
      <c r="A11" s="29" t="inlineStr">
        <is>
          <t>Other Intangible Assets</t>
        </is>
      </c>
      <c r="B11" s="30" t="n">
        <v>1245.25</v>
      </c>
      <c r="C11" s="30" t="n">
        <v>1371.7</v>
      </c>
      <c r="D11" s="30" t="n">
        <v>1459.29</v>
      </c>
      <c r="E11" s="30" t="n">
        <v>1381.34</v>
      </c>
      <c r="F11" s="30" t="n">
        <v>1366.18</v>
      </c>
    </row>
    <row r="12">
      <c r="A12" s="29" t="inlineStr">
        <is>
          <t>Investments accounted for using Equity Method</t>
        </is>
      </c>
      <c r="B12" s="30" t="n">
        <v>13549.05</v>
      </c>
      <c r="C12" s="30" t="n">
        <v>12894.22</v>
      </c>
      <c r="D12" s="30" t="n">
        <v>12983.51</v>
      </c>
      <c r="E12" s="30" t="n">
        <v>14218.88</v>
      </c>
      <c r="F12" s="30" t="n">
        <v>12580</v>
      </c>
    </row>
    <row r="13">
      <c r="A13" s="29" t="inlineStr">
        <is>
          <t>Other Investments (Non-current)</t>
        </is>
      </c>
      <c r="B13" s="30" t="n">
        <v>1669.37</v>
      </c>
      <c r="C13" s="30" t="n">
        <v>2119.75</v>
      </c>
      <c r="D13" s="30" t="n">
        <v>1854.59</v>
      </c>
      <c r="E13" s="30" t="n">
        <v>1301.21</v>
      </c>
      <c r="F13" s="30" t="n">
        <v>1169.81</v>
      </c>
    </row>
    <row r="14">
      <c r="A14" s="29" t="inlineStr">
        <is>
          <t>Trade Receivables (Non-current)</t>
        </is>
      </c>
      <c r="B14" s="30" t="n">
        <v>1599.35</v>
      </c>
      <c r="C14" s="30" t="n">
        <v>1223.02</v>
      </c>
      <c r="D14" s="30" t="n">
        <v>273.29</v>
      </c>
      <c r="E14" s="30" t="n">
        <v>359.63</v>
      </c>
      <c r="F14" s="30" t="n">
        <v>685.78</v>
      </c>
    </row>
    <row r="15">
      <c r="A15" s="29" t="inlineStr">
        <is>
          <t>Loans (Non-current)</t>
        </is>
      </c>
      <c r="B15" s="30" t="n">
        <v>37.14</v>
      </c>
      <c r="C15" s="30" t="n">
        <v>2</v>
      </c>
      <c r="D15" s="30" t="n">
        <v>2.48</v>
      </c>
      <c r="E15" s="30" t="n">
        <v>2.99</v>
      </c>
      <c r="F15" s="30" t="n">
        <v>3.45</v>
      </c>
    </row>
    <row r="16">
      <c r="A16" s="29" t="inlineStr">
        <is>
          <t>Finance Lease Receivables (Non-current)</t>
        </is>
      </c>
      <c r="B16" s="30" t="n">
        <v>837.84</v>
      </c>
      <c r="C16" s="30" t="n">
        <v>526.98</v>
      </c>
      <c r="D16" s="30" t="n">
        <v>561.66</v>
      </c>
      <c r="E16" s="30" t="n">
        <v>567.22</v>
      </c>
      <c r="F16" s="30" t="n">
        <v>588.6900000000001</v>
      </c>
    </row>
    <row r="17">
      <c r="A17" s="29" t="inlineStr">
        <is>
          <t>Other Financial Assets (Non-current)</t>
        </is>
      </c>
      <c r="B17" s="30" t="n">
        <v>3522.62</v>
      </c>
      <c r="C17" s="30" t="n">
        <v>2168.98</v>
      </c>
      <c r="D17" s="30" t="n">
        <v>2084.5</v>
      </c>
      <c r="E17" s="30" t="n">
        <v>1726.66</v>
      </c>
      <c r="F17" s="30" t="n">
        <v>1684.53</v>
      </c>
    </row>
    <row r="18">
      <c r="A18" s="29" t="inlineStr">
        <is>
          <t>Non-current Tax Assets (Net)</t>
        </is>
      </c>
      <c r="B18" s="30" t="n">
        <v>960.96</v>
      </c>
      <c r="C18" s="30" t="n">
        <v>745.78</v>
      </c>
      <c r="D18" s="30" t="n">
        <v>585.89</v>
      </c>
      <c r="E18" s="30" t="n">
        <v>739.0700000000001</v>
      </c>
      <c r="F18" s="30" t="n">
        <v>520.54</v>
      </c>
    </row>
    <row r="19">
      <c r="A19" s="29" t="inlineStr">
        <is>
          <t>Deferred Tax Assets (Net)</t>
        </is>
      </c>
      <c r="B19" s="30" t="n">
        <v>607.54</v>
      </c>
      <c r="C19" s="30" t="n">
        <v>517.99</v>
      </c>
      <c r="D19" s="30" t="n">
        <v>499.09</v>
      </c>
      <c r="E19" s="30" t="n">
        <v>252.9</v>
      </c>
      <c r="F19" s="30" t="n">
        <v>334.6</v>
      </c>
    </row>
    <row r="20">
      <c r="A20" s="29" t="inlineStr">
        <is>
          <t>Other Non-current Assets</t>
        </is>
      </c>
      <c r="B20" s="30" t="n">
        <v>10635.84</v>
      </c>
      <c r="C20" s="30" t="n">
        <v>8393.799999999999</v>
      </c>
      <c r="D20" s="30" t="n">
        <v>5173.57</v>
      </c>
      <c r="E20" s="30" t="n">
        <v>2532.46</v>
      </c>
      <c r="F20" s="30" t="n">
        <v>1849.82</v>
      </c>
    </row>
    <row r="21">
      <c r="A21" s="15" t="inlineStr">
        <is>
          <t>Total Non-current Assets</t>
        </is>
      </c>
      <c r="B21" s="31" t="n">
        <v>135307.53</v>
      </c>
      <c r="C21" s="31" t="n">
        <v>119645.82</v>
      </c>
      <c r="D21" s="31" t="n">
        <v>102789.45</v>
      </c>
      <c r="E21" s="31" t="n">
        <v>88824.03999999999</v>
      </c>
      <c r="F21" s="31" t="n">
        <v>81441.75999999999</v>
      </c>
    </row>
    <row r="22">
      <c r="A22" s="28" t="inlineStr">
        <is>
          <t>Current Assets</t>
        </is>
      </c>
      <c r="B22" s="11" t="n"/>
      <c r="C22" s="11" t="n"/>
      <c r="D22" s="11" t="n"/>
      <c r="E22" s="11" t="n"/>
      <c r="F22" s="11" t="n"/>
    </row>
    <row r="23">
      <c r="A23" s="29" t="inlineStr">
        <is>
          <t>Inventories</t>
        </is>
      </c>
      <c r="B23" s="30" t="n">
        <v>5107.64</v>
      </c>
      <c r="C23" s="30" t="n">
        <v>4571.82</v>
      </c>
      <c r="D23" s="30" t="n">
        <v>4419.63</v>
      </c>
      <c r="E23" s="30" t="n">
        <v>3942.88</v>
      </c>
      <c r="F23" s="30" t="n">
        <v>4231.52</v>
      </c>
    </row>
    <row r="24">
      <c r="A24" s="29" t="inlineStr">
        <is>
          <t>Investments (Current)</t>
        </is>
      </c>
      <c r="B24" s="30" t="n">
        <v>1356.12</v>
      </c>
      <c r="C24" s="30" t="n">
        <v>1302.42</v>
      </c>
      <c r="D24" s="30" t="n">
        <v>1477.89</v>
      </c>
      <c r="E24" s="30" t="n">
        <v>1149.6</v>
      </c>
      <c r="F24" s="30" t="n">
        <v>410.52</v>
      </c>
    </row>
    <row r="25">
      <c r="A25" s="29" t="inlineStr">
        <is>
          <t>Trade Receivables (Current)</t>
        </is>
      </c>
      <c r="B25" s="30" t="n">
        <v>4423.96</v>
      </c>
      <c r="C25" s="30" t="n">
        <v>5709.78</v>
      </c>
      <c r="D25" s="30" t="n">
        <v>7401.69</v>
      </c>
      <c r="E25" s="30" t="n">
        <v>6952.15</v>
      </c>
      <c r="F25" s="30" t="n">
        <v>5979.74</v>
      </c>
    </row>
    <row r="26">
      <c r="A26" s="29" t="inlineStr">
        <is>
          <t>Unbilled Revenue</t>
        </is>
      </c>
      <c r="B26" s="30" t="n">
        <v>2842.63</v>
      </c>
      <c r="C26" s="30" t="n">
        <v>2737.06</v>
      </c>
      <c r="D26" s="30" t="n">
        <v>2552.23</v>
      </c>
      <c r="E26" s="30" t="n">
        <v>2456.71</v>
      </c>
      <c r="F26" s="30" t="n">
        <v>2285.57</v>
      </c>
    </row>
    <row r="27">
      <c r="A27" s="29" t="inlineStr">
        <is>
          <t>Cash and Cash Equivalents</t>
        </is>
      </c>
      <c r="B27" s="30" t="n">
        <v>4409.67</v>
      </c>
      <c r="C27" s="30" t="n">
        <v>4862.47</v>
      </c>
      <c r="D27" s="30" t="n">
        <v>3324.34</v>
      </c>
      <c r="E27" s="30" t="n">
        <v>4189.76</v>
      </c>
      <c r="F27" s="30" t="n">
        <v>3077.24</v>
      </c>
    </row>
    <row r="28">
      <c r="A28" s="29" t="inlineStr">
        <is>
          <t>Bank Balances other than above</t>
        </is>
      </c>
      <c r="B28" s="30" t="n">
        <v>9234.33</v>
      </c>
      <c r="C28" s="30" t="n">
        <v>6888.51</v>
      </c>
      <c r="D28" s="30" t="n">
        <v>5827.57</v>
      </c>
      <c r="E28" s="30" t="n">
        <v>7016.77</v>
      </c>
      <c r="F28" s="30" t="n">
        <v>3563.46</v>
      </c>
    </row>
    <row r="29">
      <c r="A29" s="29" t="inlineStr">
        <is>
          <t>Loans (Current)</t>
        </is>
      </c>
      <c r="B29" s="30" t="n">
        <v>19.8</v>
      </c>
      <c r="C29" s="30" t="n">
        <v>12.34</v>
      </c>
      <c r="D29" s="30" t="n">
        <v>11.14</v>
      </c>
      <c r="E29" s="30" t="n">
        <v>11.55</v>
      </c>
      <c r="F29" s="30" t="n">
        <v>9.34</v>
      </c>
    </row>
    <row r="30">
      <c r="A30" s="29" t="inlineStr">
        <is>
          <t>Finance Lease Receivables (Current)</t>
        </is>
      </c>
      <c r="B30" s="30" t="n">
        <v>86.65000000000001</v>
      </c>
      <c r="C30" s="30" t="n">
        <v>74.47</v>
      </c>
      <c r="D30" s="30" t="n">
        <v>65.92</v>
      </c>
      <c r="E30" s="30" t="n">
        <v>54.5</v>
      </c>
      <c r="F30" s="30" t="n">
        <v>46.91</v>
      </c>
    </row>
    <row r="31">
      <c r="A31" s="29" t="inlineStr">
        <is>
          <t>Other Financial Assets (Current)</t>
        </is>
      </c>
      <c r="B31" s="30" t="n">
        <v>1316.67</v>
      </c>
      <c r="C31" s="30" t="n">
        <v>656.48</v>
      </c>
      <c r="D31" s="30" t="n">
        <v>471.48</v>
      </c>
      <c r="E31" s="30" t="n">
        <v>688.3</v>
      </c>
      <c r="F31" s="30" t="n">
        <v>501.45</v>
      </c>
    </row>
    <row r="32">
      <c r="A32" s="29" t="inlineStr">
        <is>
          <t>Current Tax Assets (Net)</t>
        </is>
      </c>
      <c r="B32" s="30" t="n">
        <v>0</v>
      </c>
      <c r="C32" s="30" t="n">
        <v>0</v>
      </c>
      <c r="D32" s="30" t="n">
        <v>8.199999999999999</v>
      </c>
      <c r="E32" s="30" t="n">
        <v>0.6899999999999999</v>
      </c>
      <c r="F32" s="30" t="n">
        <v>0.01</v>
      </c>
    </row>
    <row r="33">
      <c r="A33" s="29" t="inlineStr">
        <is>
          <t>Other Current Assets</t>
        </is>
      </c>
      <c r="B33" s="30" t="n">
        <v>1773.58</v>
      </c>
      <c r="C33" s="30" t="n">
        <v>1941.3</v>
      </c>
      <c r="D33" s="30" t="n">
        <v>1704.3</v>
      </c>
      <c r="E33" s="30" t="n">
        <v>1328.72</v>
      </c>
      <c r="F33" s="30" t="n">
        <v>1479.67</v>
      </c>
    </row>
    <row r="34">
      <c r="A34" s="15" t="inlineStr">
        <is>
          <t>Total Current Assets</t>
        </is>
      </c>
      <c r="B34" s="31" t="n">
        <v>30571.05</v>
      </c>
      <c r="C34" s="31" t="n">
        <v>28756.65</v>
      </c>
      <c r="D34" s="31" t="n">
        <v>27264.39</v>
      </c>
      <c r="E34" s="31" t="n">
        <v>27791.63</v>
      </c>
      <c r="F34" s="31" t="n">
        <v>21585.43</v>
      </c>
    </row>
    <row r="35">
      <c r="A35" s="29" t="inlineStr">
        <is>
          <t>Assets Classified as Held For Sale</t>
        </is>
      </c>
      <c r="B35" s="30" t="n">
        <v>1153.75</v>
      </c>
      <c r="C35" s="30" t="n">
        <v>1145.21</v>
      </c>
      <c r="D35" s="30" t="n">
        <v>1200.99</v>
      </c>
      <c r="E35" s="30" t="n">
        <v>3299.94</v>
      </c>
      <c r="F35" s="30" t="n">
        <v>3046.83</v>
      </c>
    </row>
    <row r="36">
      <c r="A36" s="15" t="inlineStr">
        <is>
          <t>Total Assets before Regulatory Deferral Account</t>
        </is>
      </c>
      <c r="B36" s="31" t="n">
        <v>167032.33</v>
      </c>
      <c r="C36" s="31" t="n">
        <v>149547.68</v>
      </c>
      <c r="D36" s="31" t="n">
        <v>131254.83</v>
      </c>
      <c r="E36" s="31" t="n">
        <v>119915.61</v>
      </c>
      <c r="F36" s="31" t="n">
        <v>106074.02</v>
      </c>
    </row>
    <row r="37">
      <c r="A37" s="29" t="inlineStr">
        <is>
          <t>Regulatory Deferral Account — Assets</t>
        </is>
      </c>
      <c r="B37" s="30" t="n">
        <v>8139.45</v>
      </c>
      <c r="C37" s="30" t="n">
        <v>7163.61</v>
      </c>
      <c r="D37" s="30" t="n">
        <v>8298.66</v>
      </c>
      <c r="E37" s="30" t="n">
        <v>8433.43</v>
      </c>
      <c r="F37" s="30" t="n">
        <v>6810.57</v>
      </c>
    </row>
    <row r="38">
      <c r="A38" s="15" t="inlineStr">
        <is>
          <t>TOTAL ASSETS</t>
        </is>
      </c>
      <c r="B38" s="31" t="n">
        <v>175171.78</v>
      </c>
      <c r="C38" s="31" t="n">
        <v>156711.29</v>
      </c>
      <c r="D38" s="31" t="n">
        <v>139553.49</v>
      </c>
      <c r="E38" s="31" t="n">
        <v>128349.04</v>
      </c>
      <c r="F38" s="31" t="n">
        <v>112884.59</v>
      </c>
    </row>
    <row r="39">
      <c r="A39" s="28" t="inlineStr">
        <is>
          <t>EQUITY AND LIABILITIES</t>
        </is>
      </c>
      <c r="B39" s="11" t="n"/>
      <c r="C39" s="11" t="n"/>
      <c r="D39" s="11" t="n"/>
      <c r="E39" s="11" t="n"/>
      <c r="F39" s="11" t="n"/>
    </row>
    <row r="40">
      <c r="A40" s="29" t="inlineStr">
        <is>
          <t>Equity Share Capital</t>
        </is>
      </c>
      <c r="B40" s="30" t="n">
        <v>319.56</v>
      </c>
      <c r="C40" s="30" t="n">
        <v>319.56</v>
      </c>
      <c r="D40" s="30" t="n">
        <v>319.56</v>
      </c>
      <c r="E40" s="30" t="n">
        <v>319.56</v>
      </c>
      <c r="F40" s="30" t="n">
        <v>319.56</v>
      </c>
    </row>
    <row r="41">
      <c r="A41" s="29" t="inlineStr">
        <is>
          <t>Other Equity</t>
        </is>
      </c>
      <c r="B41" s="30" t="n">
        <v>39147.65</v>
      </c>
      <c r="C41" s="30" t="n">
        <v>35521.11</v>
      </c>
      <c r="D41" s="30" t="n">
        <v>32035.73</v>
      </c>
      <c r="E41" s="30" t="n">
        <v>28467.87</v>
      </c>
      <c r="F41" s="30" t="n">
        <v>22122</v>
      </c>
    </row>
    <row r="42">
      <c r="A42" s="29" t="inlineStr">
        <is>
          <t>Equity attributable to Shareholders of Parent</t>
        </is>
      </c>
      <c r="B42" s="30" t="n">
        <v>39467.21</v>
      </c>
      <c r="C42" s="30" t="n">
        <v>35840.67</v>
      </c>
      <c r="D42" s="30" t="n">
        <v>32355.29</v>
      </c>
      <c r="E42" s="30" t="n">
        <v>28787.43</v>
      </c>
      <c r="F42" s="30" t="n">
        <v>22441.56</v>
      </c>
    </row>
    <row r="43">
      <c r="A43" s="29" t="inlineStr">
        <is>
          <t>Non-controlling Interests</t>
        </is>
      </c>
      <c r="B43" s="30" t="n">
        <v>8070.86</v>
      </c>
      <c r="C43" s="30" t="n">
        <v>6765.37</v>
      </c>
      <c r="D43" s="30" t="n">
        <v>5977.48</v>
      </c>
      <c r="E43" s="30" t="n">
        <v>5416.69</v>
      </c>
      <c r="F43" s="11" t="n"/>
    </row>
    <row r="44">
      <c r="A44" s="15" t="inlineStr">
        <is>
          <t>Total Equity</t>
        </is>
      </c>
      <c r="B44" s="31" t="n">
        <v>47538.07</v>
      </c>
      <c r="C44" s="31" t="n">
        <v>42606.04</v>
      </c>
      <c r="D44" s="31" t="n">
        <v>38332.77</v>
      </c>
      <c r="E44" s="31" t="n">
        <v>34204.12</v>
      </c>
      <c r="F44" s="32" t="n"/>
    </row>
    <row r="45">
      <c r="A45" s="28" t="inlineStr">
        <is>
          <t>Non-current Liabilities</t>
        </is>
      </c>
      <c r="B45" s="11" t="n"/>
      <c r="C45" s="11" t="n"/>
      <c r="D45" s="11" t="n"/>
      <c r="E45" s="11" t="n"/>
      <c r="F45" s="11" t="n"/>
    </row>
    <row r="46">
      <c r="A46" s="29" t="inlineStr">
        <is>
          <t>Borrowings (Non-current)</t>
        </is>
      </c>
      <c r="B46" s="30" t="n">
        <v>61608.57</v>
      </c>
      <c r="C46" s="30" t="n">
        <v>44129.72</v>
      </c>
      <c r="D46" s="30" t="n">
        <v>37392.25</v>
      </c>
      <c r="E46" s="30" t="n">
        <v>30708.49</v>
      </c>
      <c r="F46" s="11" t="n"/>
    </row>
    <row r="47">
      <c r="A47" s="29" t="inlineStr">
        <is>
          <t>Lease Liabilities (Non-current)</t>
        </is>
      </c>
      <c r="B47" s="30" t="n">
        <v>4549.94</v>
      </c>
      <c r="C47" s="30" t="n">
        <v>4196.21</v>
      </c>
      <c r="D47" s="30" t="n">
        <v>3742.48</v>
      </c>
      <c r="E47" s="30" t="n">
        <v>3510.7</v>
      </c>
      <c r="F47" s="11" t="n"/>
    </row>
    <row r="48">
      <c r="A48" s="29" t="inlineStr">
        <is>
          <t>Other Financial Liabilities (Non-current)</t>
        </is>
      </c>
      <c r="B48" s="30" t="n">
        <v>694.64</v>
      </c>
      <c r="C48" s="30" t="n">
        <v>674.12</v>
      </c>
      <c r="D48" s="30" t="n">
        <v>1507.55</v>
      </c>
      <c r="E48" s="30" t="n">
        <v>1410.4</v>
      </c>
      <c r="F48" s="11" t="n"/>
    </row>
    <row r="49">
      <c r="A49" s="29" t="inlineStr">
        <is>
          <t>Provisions (Non-current)</t>
        </is>
      </c>
      <c r="B49" s="30" t="n">
        <v>3213.85</v>
      </c>
      <c r="C49" s="30" t="n">
        <v>2548.69</v>
      </c>
      <c r="D49" s="30" t="n">
        <v>1865.08</v>
      </c>
      <c r="E49" s="30" t="n">
        <v>1420.02</v>
      </c>
      <c r="F49" s="11" t="n"/>
    </row>
    <row r="50">
      <c r="A50" s="29" t="inlineStr">
        <is>
          <t>Deferred Tax Liabilities (Net)</t>
        </is>
      </c>
      <c r="B50" s="30" t="n">
        <v>4807.88</v>
      </c>
      <c r="C50" s="30" t="n">
        <v>4104.12</v>
      </c>
      <c r="D50" s="30" t="n">
        <v>2772.33</v>
      </c>
      <c r="E50" s="30" t="n">
        <v>1919.37</v>
      </c>
      <c r="F50" s="11" t="n"/>
    </row>
    <row r="51">
      <c r="A51" s="29" t="inlineStr">
        <is>
          <t>Other Non-current Liabilities</t>
        </is>
      </c>
      <c r="B51" s="30" t="n">
        <v>13411.97</v>
      </c>
      <c r="C51" s="30" t="n">
        <v>12930.57</v>
      </c>
      <c r="D51" s="30" t="n">
        <v>11973.08</v>
      </c>
      <c r="E51" s="30" t="n">
        <v>9847.82</v>
      </c>
      <c r="F51" s="11" t="n"/>
    </row>
    <row r="52">
      <c r="A52" s="15" t="inlineStr">
        <is>
          <t>Total Non-current Liabilities</t>
        </is>
      </c>
      <c r="B52" s="31" t="n">
        <v>88286.85000000001</v>
      </c>
      <c r="C52" s="31" t="n">
        <v>68583.42999999999</v>
      </c>
      <c r="D52" s="31" t="n">
        <v>59252.77</v>
      </c>
      <c r="E52" s="31" t="n">
        <v>48816.8</v>
      </c>
      <c r="F52" s="32" t="n"/>
    </row>
    <row r="53">
      <c r="A53" s="28" t="inlineStr">
        <is>
          <t>Current Liabilities</t>
        </is>
      </c>
      <c r="B53" s="11" t="n"/>
      <c r="C53" s="11" t="n"/>
      <c r="D53" s="11" t="n"/>
      <c r="E53" s="11" t="n"/>
      <c r="F53" s="11" t="n"/>
    </row>
    <row r="54">
      <c r="A54" s="29" t="inlineStr">
        <is>
          <t>Borrowings (Current)</t>
        </is>
      </c>
      <c r="B54" s="30" t="n">
        <v>9513.82</v>
      </c>
      <c r="C54" s="30" t="n">
        <v>14015.84</v>
      </c>
      <c r="D54" s="30" t="n">
        <v>12087.56</v>
      </c>
      <c r="E54" s="30" t="n">
        <v>18265.94</v>
      </c>
      <c r="F54" s="11" t="n"/>
    </row>
    <row r="55">
      <c r="A55" s="29" t="inlineStr">
        <is>
          <t>Lease Liabilities (Current)</t>
        </is>
      </c>
      <c r="B55" s="30" t="n">
        <v>468.94</v>
      </c>
      <c r="C55" s="30" t="n">
        <v>524.03</v>
      </c>
      <c r="D55" s="30" t="n">
        <v>467.16</v>
      </c>
      <c r="E55" s="30" t="n">
        <v>437.87</v>
      </c>
      <c r="F55" s="11" t="n"/>
    </row>
    <row r="56">
      <c r="A56" s="29" t="inlineStr">
        <is>
          <t>Trade Payables — micro/small enterprises</t>
        </is>
      </c>
      <c r="B56" s="30" t="n">
        <v>809.84</v>
      </c>
      <c r="C56" s="30" t="n">
        <v>784.21</v>
      </c>
      <c r="D56" s="30" t="n">
        <v>870</v>
      </c>
      <c r="E56" s="30" t="n">
        <v>537.6</v>
      </c>
      <c r="F56" s="11" t="n"/>
    </row>
    <row r="57">
      <c r="A57" s="29" t="inlineStr">
        <is>
          <t>Trade Payables — other creditors</t>
        </is>
      </c>
      <c r="B57" s="30" t="n">
        <v>6328.39</v>
      </c>
      <c r="C57" s="30" t="n">
        <v>8070.34</v>
      </c>
      <c r="D57" s="30" t="n">
        <v>8451.370000000001</v>
      </c>
      <c r="E57" s="30" t="n">
        <v>6869.6</v>
      </c>
      <c r="F57" s="11" t="n"/>
    </row>
    <row r="58">
      <c r="A58" s="29" t="inlineStr">
        <is>
          <t>Other Financial Liabilities (Current)</t>
        </is>
      </c>
      <c r="B58" s="30" t="n">
        <v>13897.6</v>
      </c>
      <c r="C58" s="30" t="n">
        <v>12427.03</v>
      </c>
      <c r="D58" s="30" t="n">
        <v>14796.16</v>
      </c>
      <c r="E58" s="30" t="n">
        <v>13150.77</v>
      </c>
      <c r="F58" s="11" t="n"/>
    </row>
    <row r="59">
      <c r="A59" s="29" t="inlineStr">
        <is>
          <t>Provisions (Current)</t>
        </is>
      </c>
      <c r="B59" s="30" t="n">
        <v>680.4400000000001</v>
      </c>
      <c r="C59" s="30" t="n">
        <v>437.56</v>
      </c>
      <c r="D59" s="30" t="n">
        <v>294.34</v>
      </c>
      <c r="E59" s="30" t="n">
        <v>311.07</v>
      </c>
      <c r="F59" s="11" t="n"/>
    </row>
    <row r="60">
      <c r="A60" s="29" t="inlineStr">
        <is>
          <t>Current Tax Liabilities (Net)</t>
        </is>
      </c>
      <c r="B60" s="30" t="n">
        <v>185.42</v>
      </c>
      <c r="C60" s="30" t="n">
        <v>208.2</v>
      </c>
      <c r="D60" s="30" t="n">
        <v>291.54</v>
      </c>
      <c r="E60" s="30" t="n">
        <v>217.96</v>
      </c>
      <c r="F60" s="11" t="n"/>
    </row>
    <row r="61">
      <c r="A61" s="29" t="inlineStr">
        <is>
          <t>Other Current Liabilities</t>
        </is>
      </c>
      <c r="B61" s="30" t="n">
        <v>3691.15</v>
      </c>
      <c r="C61" s="30" t="n">
        <v>3672.38</v>
      </c>
      <c r="D61" s="30" t="n">
        <v>3879.84</v>
      </c>
      <c r="E61" s="30" t="n">
        <v>4188.41</v>
      </c>
      <c r="F61" s="11" t="n"/>
    </row>
    <row r="62">
      <c r="A62" s="15" t="inlineStr">
        <is>
          <t>Total Current Liabilities</t>
        </is>
      </c>
      <c r="B62" s="31" t="n">
        <v>39223.57</v>
      </c>
      <c r="C62" s="31" t="n">
        <v>45269.52</v>
      </c>
      <c r="D62" s="31" t="n">
        <v>41137.97</v>
      </c>
      <c r="E62" s="31" t="n">
        <v>43979.22</v>
      </c>
      <c r="F62" s="32" t="n"/>
    </row>
    <row r="63">
      <c r="A63" s="29" t="inlineStr">
        <is>
          <t>Liabilities re: Assets Held For Sale</t>
        </is>
      </c>
      <c r="B63" s="30" t="n">
        <v>114.24</v>
      </c>
      <c r="C63" s="30" t="n">
        <v>113.56</v>
      </c>
      <c r="D63" s="30" t="n">
        <v>113.56</v>
      </c>
      <c r="E63" s="30" t="n">
        <v>113.56</v>
      </c>
      <c r="F63" s="11" t="n"/>
    </row>
    <row r="64">
      <c r="A64" s="29" t="inlineStr">
        <is>
          <t>Regulatory Deferral Account — Liability</t>
        </is>
      </c>
      <c r="B64" s="30" t="n">
        <v>9.050000000000001</v>
      </c>
      <c r="C64" s="30" t="n">
        <v>138.74</v>
      </c>
      <c r="D64" s="30" t="n">
        <v>716.42</v>
      </c>
      <c r="E64" s="30" t="n">
        <v>1235.34</v>
      </c>
      <c r="F64" s="11" t="n"/>
    </row>
    <row r="65">
      <c r="A65" s="15" t="inlineStr">
        <is>
          <t>TOTAL EQUITY AND LIABILITIES</t>
        </is>
      </c>
      <c r="B65" s="31" t="n">
        <v>175171.78</v>
      </c>
      <c r="C65" s="31" t="n">
        <v>156711.29</v>
      </c>
      <c r="D65" s="31" t="n">
        <v>139553.49</v>
      </c>
      <c r="E65" s="31" t="n">
        <v>128349.04</v>
      </c>
      <c r="F65" s="31" t="n">
        <v>112884.59</v>
      </c>
    </row>
  </sheetData>
  <mergeCells count="2">
    <mergeCell ref="A2:F2"/>
    <mergeCell ref="A1:F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2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4" t="inlineStr">
        <is>
          <t>THE TATA POWER COMPANY LIMITED — Consolidated Statement of Profit and Loss</t>
        </is>
      </c>
    </row>
    <row r="2" ht="30" customHeight="1">
      <c r="A2" s="25" t="inlineStr">
        <is>
          <t>Sources: Tata Power Integrated Annual Reports FY21-22, FY23-24 and FY25-26 — 'Consolidated Statement of Profit and Loss' for each year ended. Extends the team's original sheet (which only had FY22/23) to the full FY22-FY26 window.</t>
        </is>
      </c>
    </row>
    <row r="4">
      <c r="A4" s="26" t="inlineStr">
        <is>
          <t>Particulars (₹ crore)</t>
        </is>
      </c>
      <c r="B4" s="27" t="inlineStr">
        <is>
          <t>FY 2025-26</t>
        </is>
      </c>
      <c r="C4" s="27" t="inlineStr">
        <is>
          <t>FY 2024-25</t>
        </is>
      </c>
      <c r="D4" s="27" t="inlineStr">
        <is>
          <t>FY 2023-24</t>
        </is>
      </c>
      <c r="E4" s="27" t="inlineStr">
        <is>
          <t>FY 2022-23</t>
        </is>
      </c>
      <c r="F4" s="27" t="inlineStr">
        <is>
          <t>FY 2021-22</t>
        </is>
      </c>
    </row>
    <row r="5">
      <c r="A5" s="29" t="inlineStr">
        <is>
          <t>Revenue from Operations</t>
        </is>
      </c>
      <c r="B5" s="30" t="n">
        <v>62428.59</v>
      </c>
      <c r="C5" s="30" t="n">
        <v>65478.24</v>
      </c>
      <c r="D5" s="30" t="n">
        <v>61448.9</v>
      </c>
      <c r="E5" s="30" t="n">
        <v>55109.08</v>
      </c>
      <c r="F5" s="30" t="n">
        <v>42815.67</v>
      </c>
    </row>
    <row r="6">
      <c r="A6" s="29" t="inlineStr">
        <is>
          <t>Other Income</t>
        </is>
      </c>
      <c r="B6" s="30" t="n">
        <v>1743.07</v>
      </c>
      <c r="C6" s="30" t="n">
        <v>1513.93</v>
      </c>
      <c r="D6" s="30" t="n">
        <v>1823.42</v>
      </c>
      <c r="E6" s="30" t="n">
        <v>1438.02</v>
      </c>
      <c r="F6" s="30" t="n">
        <v>919.96</v>
      </c>
    </row>
    <row r="7">
      <c r="A7" s="15" t="inlineStr">
        <is>
          <t>Total Income</t>
        </is>
      </c>
      <c r="B7" s="31" t="n">
        <v>64171.66</v>
      </c>
      <c r="C7" s="31" t="n">
        <v>66992.17</v>
      </c>
      <c r="D7" s="31" t="n">
        <v>63272.32</v>
      </c>
      <c r="E7" s="31" t="n">
        <v>56547.1</v>
      </c>
      <c r="F7" s="31" t="n">
        <v>43735.63</v>
      </c>
    </row>
    <row r="8">
      <c r="A8" s="28" t="inlineStr">
        <is>
          <t>Expenses</t>
        </is>
      </c>
      <c r="B8" s="11" t="n"/>
      <c r="C8" s="11" t="n"/>
      <c r="D8" s="11" t="n"/>
      <c r="E8" s="11" t="n"/>
      <c r="F8" s="11" t="n"/>
    </row>
    <row r="9">
      <c r="A9" s="29" t="inlineStr">
        <is>
          <t>Cost of Power Purchased</t>
        </is>
      </c>
      <c r="B9" s="30" t="n">
        <v>19647.25</v>
      </c>
      <c r="C9" s="30" t="n">
        <v>20523.61</v>
      </c>
      <c r="D9" s="30" t="n">
        <v>20014.46</v>
      </c>
      <c r="E9" s="30" t="n">
        <v>19062.67</v>
      </c>
      <c r="F9" s="30" t="n">
        <v>14640.62</v>
      </c>
    </row>
    <row r="10">
      <c r="A10" s="29" t="inlineStr">
        <is>
          <t>Cost of Fuel</t>
        </is>
      </c>
      <c r="B10" s="30" t="n">
        <v>7498.39</v>
      </c>
      <c r="C10" s="30" t="n">
        <v>13918.47</v>
      </c>
      <c r="D10" s="30" t="n">
        <v>14130.47</v>
      </c>
      <c r="E10" s="30" t="n">
        <v>13763.59</v>
      </c>
      <c r="F10" s="30" t="n">
        <v>8290.92</v>
      </c>
    </row>
    <row r="11">
      <c r="A11" s="29" t="inlineStr">
        <is>
          <t>Transmission Charges</t>
        </is>
      </c>
      <c r="B11" s="30" t="n">
        <v>1467.98</v>
      </c>
      <c r="C11" s="30" t="n">
        <v>1277.81</v>
      </c>
      <c r="D11" s="30" t="n">
        <v>1168.69</v>
      </c>
      <c r="E11" s="30" t="n">
        <v>1194.95</v>
      </c>
      <c r="F11" s="30" t="n">
        <v>1018.19</v>
      </c>
    </row>
    <row r="12">
      <c r="A12" s="29" t="inlineStr">
        <is>
          <t>Raw Material Consumed / Construction Cost</t>
        </is>
      </c>
      <c r="B12" s="30" t="n">
        <v>8618.4</v>
      </c>
      <c r="C12" s="30" t="n">
        <v>4921.46</v>
      </c>
      <c r="D12" s="30" t="n">
        <v>5439.86</v>
      </c>
      <c r="E12" s="30" t="n">
        <v>3882.3</v>
      </c>
      <c r="F12" s="30" t="n">
        <v>3832.83</v>
      </c>
    </row>
    <row r="13">
      <c r="A13" s="29" t="inlineStr">
        <is>
          <t>Purchase of Finished Goods and Spares</t>
        </is>
      </c>
      <c r="B13" s="30" t="n">
        <v>42.35</v>
      </c>
      <c r="C13" s="30" t="n">
        <v>31.84</v>
      </c>
      <c r="D13" s="30" t="n">
        <v>39.89</v>
      </c>
      <c r="E13" s="30" t="n">
        <v>56.15</v>
      </c>
      <c r="F13" s="30" t="n">
        <v>49.11</v>
      </c>
    </row>
    <row r="14">
      <c r="A14" s="29" t="inlineStr">
        <is>
          <t>(Increase)/Decrease in Stock-in-Trade &amp; WIP</t>
        </is>
      </c>
      <c r="B14" s="30" t="n">
        <v>-84.11</v>
      </c>
      <c r="C14" s="30" t="n">
        <v>-440.76</v>
      </c>
      <c r="D14" s="30" t="n">
        <v>-51.78</v>
      </c>
      <c r="E14" s="30" t="n">
        <v>43.53</v>
      </c>
      <c r="F14" s="30" t="n">
        <v>-199.22</v>
      </c>
    </row>
    <row r="15">
      <c r="A15" s="29" t="inlineStr">
        <is>
          <t>Employee Benefits Expense</t>
        </is>
      </c>
      <c r="B15" s="30" t="n">
        <v>4693.73</v>
      </c>
      <c r="C15" s="30" t="n">
        <v>4372.92</v>
      </c>
      <c r="D15" s="30" t="n">
        <v>4036.09</v>
      </c>
      <c r="E15" s="30" t="n">
        <v>3624.26</v>
      </c>
      <c r="F15" s="30" t="n">
        <v>3611.63</v>
      </c>
    </row>
    <row r="16">
      <c r="A16" s="29" t="inlineStr">
        <is>
          <t>Finance Costs</t>
        </is>
      </c>
      <c r="B16" s="30" t="n">
        <v>5256.79</v>
      </c>
      <c r="C16" s="30" t="n">
        <v>4702.44</v>
      </c>
      <c r="D16" s="30" t="n">
        <v>4633.22</v>
      </c>
      <c r="E16" s="30" t="n">
        <v>4371.65</v>
      </c>
      <c r="F16" s="30" t="n">
        <v>3859.02</v>
      </c>
    </row>
    <row r="17">
      <c r="A17" s="29" t="inlineStr">
        <is>
          <t>Depreciation and Amortisation Expense</t>
        </is>
      </c>
      <c r="B17" s="30" t="n">
        <v>4811.09</v>
      </c>
      <c r="C17" s="30" t="n">
        <v>4116.86</v>
      </c>
      <c r="D17" s="30" t="n">
        <v>3786.37</v>
      </c>
      <c r="E17" s="30" t="n">
        <v>3439.2</v>
      </c>
      <c r="F17" s="30" t="n">
        <v>3122.2</v>
      </c>
    </row>
    <row r="18">
      <c r="A18" s="29" t="inlineStr">
        <is>
          <t>Other Expenses</t>
        </is>
      </c>
      <c r="B18" s="30" t="n">
        <v>7449.54</v>
      </c>
      <c r="C18" s="30" t="n">
        <v>6943.02</v>
      </c>
      <c r="D18" s="30" t="n">
        <v>5887.39</v>
      </c>
      <c r="E18" s="30" t="n">
        <v>5775.31</v>
      </c>
      <c r="F18" s="30" t="n">
        <v>4060.42</v>
      </c>
    </row>
    <row r="19">
      <c r="A19" s="15" t="inlineStr">
        <is>
          <t>Total Expenses</t>
        </is>
      </c>
      <c r="B19" s="31" t="n">
        <v>59401.41</v>
      </c>
      <c r="C19" s="31" t="n">
        <v>60367.67</v>
      </c>
      <c r="D19" s="31" t="n">
        <v>59084.66</v>
      </c>
      <c r="E19" s="31" t="n">
        <v>55213.61</v>
      </c>
      <c r="F19" s="31" t="n">
        <v>42285.72</v>
      </c>
    </row>
    <row r="20">
      <c r="A20" s="29" t="inlineStr">
        <is>
          <t>Profit before Regulatory Deferral, Exceptional Items &amp; Assoc./JV share</t>
        </is>
      </c>
      <c r="B20" s="30" t="n">
        <v>4770.25</v>
      </c>
      <c r="C20" s="30" t="n">
        <v>6624.5</v>
      </c>
      <c r="D20" s="30" t="n">
        <v>4187.66</v>
      </c>
      <c r="E20" s="30" t="n">
        <v>1333.49</v>
      </c>
      <c r="F20" s="30" t="n">
        <v>1449.91</v>
      </c>
    </row>
    <row r="21">
      <c r="A21" s="29" t="inlineStr">
        <is>
          <t>Net Movement in Regulatory Deferral Balances (incl. earlier years, net tax)</t>
        </is>
      </c>
      <c r="B21" s="30" t="n">
        <v>1252.04</v>
      </c>
      <c r="C21" s="30" t="n">
        <v>-976.16</v>
      </c>
      <c r="D21" s="30" t="n">
        <v>93.43000000000001</v>
      </c>
      <c r="E21" s="30" t="n">
        <v>924.05</v>
      </c>
      <c r="F21" s="30" t="n">
        <v>-239.47</v>
      </c>
    </row>
    <row r="22">
      <c r="A22" s="15" t="inlineStr">
        <is>
          <t>Profit Before Exceptional Items, Tax &amp; Assoc./JV Share</t>
        </is>
      </c>
      <c r="B22" s="31" t="n">
        <v>6022.29</v>
      </c>
      <c r="C22" s="31" t="n">
        <v>5648.34</v>
      </c>
      <c r="D22" s="31" t="n">
        <v>4281.09</v>
      </c>
      <c r="E22" s="31" t="n">
        <v>2257.54</v>
      </c>
      <c r="F22" s="31" t="n">
        <v>1210.44</v>
      </c>
    </row>
    <row r="23">
      <c r="A23" s="29" t="inlineStr">
        <is>
          <t>Share of Net Profit of Associates and JVs (Equity Method)</t>
        </is>
      </c>
      <c r="B23" s="30" t="n">
        <v>707.87</v>
      </c>
      <c r="C23" s="30" t="n">
        <v>793.33</v>
      </c>
      <c r="D23" s="30" t="n">
        <v>1177.57</v>
      </c>
      <c r="E23" s="30" t="n">
        <v>3199.46</v>
      </c>
      <c r="F23" s="30" t="n">
        <v>1942.83</v>
      </c>
    </row>
    <row r="24">
      <c r="A24" s="15" t="inlineStr">
        <is>
          <t>Profit Before Exceptional Items and Tax</t>
        </is>
      </c>
      <c r="B24" s="31" t="n">
        <v>6730.16</v>
      </c>
      <c r="C24" s="31" t="n">
        <v>6441.67</v>
      </c>
      <c r="D24" s="31" t="n">
        <v>5458.66</v>
      </c>
      <c r="E24" s="31" t="n">
        <v>5457</v>
      </c>
      <c r="F24" s="31" t="n">
        <v>3153.27</v>
      </c>
    </row>
    <row r="25">
      <c r="A25" s="29" t="inlineStr">
        <is>
          <t>Exceptional Items (net)</t>
        </is>
      </c>
      <c r="B25" s="11" t="n"/>
      <c r="C25" s="11" t="n"/>
      <c r="D25" s="30" t="n">
        <v>273.36</v>
      </c>
      <c r="E25" s="30" t="n">
        <v>0</v>
      </c>
      <c r="F25" s="30" t="n">
        <v>-150.27</v>
      </c>
    </row>
    <row r="26">
      <c r="A26" s="15" t="inlineStr">
        <is>
          <t>Profit Before Tax</t>
        </is>
      </c>
      <c r="B26" s="32" t="n"/>
      <c r="C26" s="32" t="n"/>
      <c r="D26" s="31" t="n">
        <v>5732.02</v>
      </c>
      <c r="E26" s="31" t="n">
        <v>5457</v>
      </c>
      <c r="F26" s="31" t="n">
        <v>3003</v>
      </c>
    </row>
    <row r="27">
      <c r="A27" s="29" t="inlineStr">
        <is>
          <t>Total Tax Expense/(Credit)</t>
        </is>
      </c>
      <c r="B27" s="11" t="n"/>
      <c r="C27" s="11" t="n"/>
      <c r="D27" s="30" t="n">
        <v>1451.92</v>
      </c>
      <c r="E27" s="30" t="n">
        <v>1647.33</v>
      </c>
      <c r="F27" s="30" t="n">
        <v>379.56</v>
      </c>
    </row>
    <row r="28">
      <c r="A28" s="15" t="inlineStr">
        <is>
          <t>Profit for the Year (PAT, consolidated)</t>
        </is>
      </c>
      <c r="B28" s="31" t="n">
        <v>5117.56</v>
      </c>
      <c r="C28" s="31" t="n">
        <v>4775</v>
      </c>
      <c r="D28" s="31" t="n">
        <v>4280.1</v>
      </c>
      <c r="E28" s="31" t="n">
        <v>3809.67</v>
      </c>
      <c r="F28" s="31" t="n">
        <v>2623.44</v>
      </c>
    </row>
  </sheetData>
  <mergeCells count="2">
    <mergeCell ref="A2:F2"/>
    <mergeCell ref="A1:F1"/>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4" t="inlineStr">
        <is>
          <t>TORRENT POWER LIMITED — Consolidated Balance Sheet</t>
        </is>
      </c>
    </row>
    <row r="2" ht="30" customHeight="1">
      <c r="A2" s="25" t="inlineStr">
        <is>
          <t>Sources: Torrent Power Integrated Annual Reports FY21-22 (AR_20392) through FY25-26 (AR_29704) — 'Consolidated Balance Sheet' as at each year-end. Fills the FY22/FY21 gap left blank in the team's original 'Consolidated Balance Sheet Summ[ary]' sheet; FY23-26 figures cross-checked and match.</t>
        </is>
      </c>
    </row>
    <row r="4">
      <c r="A4" s="26" t="inlineStr">
        <is>
          <t>Particulars (₹ crore)</t>
        </is>
      </c>
      <c r="B4" s="27" t="inlineStr">
        <is>
          <t>Mar-2026</t>
        </is>
      </c>
      <c r="C4" s="27" t="inlineStr">
        <is>
          <t>Mar-2025</t>
        </is>
      </c>
      <c r="D4" s="27" t="inlineStr">
        <is>
          <t>Mar-2024</t>
        </is>
      </c>
      <c r="E4" s="27" t="inlineStr">
        <is>
          <t>Mar-2023</t>
        </is>
      </c>
      <c r="F4" s="27" t="inlineStr">
        <is>
          <t>Mar-2022</t>
        </is>
      </c>
      <c r="G4" s="27" t="inlineStr">
        <is>
          <t>Mar-2021</t>
        </is>
      </c>
    </row>
    <row r="5">
      <c r="A5" s="28" t="inlineStr">
        <is>
          <t>Non-current Assets</t>
        </is>
      </c>
      <c r="B5" s="11" t="n"/>
      <c r="C5" s="11" t="n"/>
      <c r="D5" s="11" t="n"/>
      <c r="E5" s="11" t="n"/>
      <c r="F5" s="11" t="n"/>
      <c r="G5" s="11" t="n"/>
    </row>
    <row r="6">
      <c r="A6" s="29" t="inlineStr">
        <is>
          <t>Property, Plant and Equipment</t>
        </is>
      </c>
      <c r="B6" s="11" t="n"/>
      <c r="C6" s="11" t="n"/>
      <c r="D6" s="11" t="n"/>
      <c r="E6" s="11" t="n"/>
      <c r="F6" s="30" t="n">
        <v>16759.39</v>
      </c>
      <c r="G6" s="30" t="n">
        <v>17129.25</v>
      </c>
    </row>
    <row r="7">
      <c r="A7" s="29" t="inlineStr">
        <is>
          <t>Right-of-use Assets</t>
        </is>
      </c>
      <c r="B7" s="11" t="n"/>
      <c r="C7" s="11" t="n"/>
      <c r="D7" s="11" t="n"/>
      <c r="E7" s="11" t="n"/>
      <c r="F7" s="30" t="n">
        <v>214.6</v>
      </c>
      <c r="G7" s="30" t="n">
        <v>178.35</v>
      </c>
    </row>
    <row r="8">
      <c r="A8" s="29" t="inlineStr">
        <is>
          <t>Capital Work-in-Progress</t>
        </is>
      </c>
      <c r="B8" s="30" t="n">
        <v>6961.53</v>
      </c>
      <c r="C8" s="30" t="n">
        <v>2249.81</v>
      </c>
      <c r="D8" s="30" t="n">
        <v>2472.36</v>
      </c>
      <c r="E8" s="30" t="n">
        <v>2624.69</v>
      </c>
      <c r="F8" s="30" t="n">
        <v>1297.27</v>
      </c>
      <c r="G8" s="30" t="n">
        <v>837.73</v>
      </c>
    </row>
    <row r="9">
      <c r="A9" s="29" t="inlineStr">
        <is>
          <t>Other Non-Current Assets (incl. intangibles/investments/loans)</t>
        </is>
      </c>
      <c r="B9" s="30" t="n">
        <v>4791.5</v>
      </c>
      <c r="C9" s="30" t="n">
        <v>2675.23</v>
      </c>
      <c r="D9" s="30" t="n">
        <v>1760.08</v>
      </c>
      <c r="E9" s="30" t="n">
        <v>874.3099999999999</v>
      </c>
      <c r="F9" s="30" t="n">
        <v>1525.68</v>
      </c>
      <c r="G9" s="30" t="n">
        <v>748.98</v>
      </c>
    </row>
    <row r="10">
      <c r="A10" s="15" t="inlineStr">
        <is>
          <t>Total Non-current Assets</t>
        </is>
      </c>
      <c r="B10" s="31" t="n">
        <v>35953.86</v>
      </c>
      <c r="C10" s="31" t="n">
        <v>27953.33</v>
      </c>
      <c r="D10" s="31" t="n">
        <v>24886.12</v>
      </c>
      <c r="E10" s="31" t="n">
        <v>21894</v>
      </c>
      <c r="F10" s="31" t="n">
        <v>19796.94</v>
      </c>
      <c r="G10" s="31" t="n">
        <v>18894.31</v>
      </c>
    </row>
    <row r="11">
      <c r="A11" s="15" t="inlineStr">
        <is>
          <t>Current Assets</t>
        </is>
      </c>
      <c r="B11" s="31" t="n">
        <v>9239.42</v>
      </c>
      <c r="C11" s="31" t="n">
        <v>8620.049999999999</v>
      </c>
      <c r="D11" s="31" t="n">
        <v>8506.360000000001</v>
      </c>
      <c r="E11" s="31" t="n">
        <v>8016.18</v>
      </c>
      <c r="F11" s="31" t="n">
        <v>5225.76</v>
      </c>
      <c r="G11" s="31" t="n">
        <v>4644.41</v>
      </c>
    </row>
    <row r="12">
      <c r="A12" s="15" t="inlineStr">
        <is>
          <t>TOTAL ASSETS</t>
        </is>
      </c>
      <c r="B12" s="31" t="n">
        <v>45193.28</v>
      </c>
      <c r="C12" s="31" t="n">
        <v>36573.38</v>
      </c>
      <c r="D12" s="31" t="n">
        <v>33392.48</v>
      </c>
      <c r="E12" s="31" t="n">
        <v>29910.18</v>
      </c>
      <c r="F12" s="31" t="n">
        <v>25022.7</v>
      </c>
      <c r="G12" s="31" t="n">
        <v>23538.72</v>
      </c>
    </row>
    <row r="13">
      <c r="A13" s="28" t="inlineStr">
        <is>
          <t>EQUITY &amp; LIABILITIES</t>
        </is>
      </c>
      <c r="B13" s="11" t="n"/>
      <c r="C13" s="11" t="n"/>
      <c r="D13" s="11" t="n"/>
      <c r="E13" s="11" t="n"/>
      <c r="F13" s="11" t="n"/>
      <c r="G13" s="11" t="n"/>
    </row>
    <row r="14">
      <c r="A14" s="29" t="inlineStr">
        <is>
          <t>Equity Share Capital</t>
        </is>
      </c>
      <c r="B14" s="30" t="n">
        <v>503.9</v>
      </c>
      <c r="C14" s="30" t="n">
        <v>503.9</v>
      </c>
      <c r="D14" s="30" t="n">
        <v>480.62</v>
      </c>
      <c r="E14" s="30" t="n">
        <v>480.62</v>
      </c>
      <c r="F14" s="30" t="n">
        <v>480.62</v>
      </c>
      <c r="G14" s="30" t="n">
        <v>480.62</v>
      </c>
    </row>
    <row r="15">
      <c r="A15" s="29" t="inlineStr">
        <is>
          <t>Other Equity</t>
        </is>
      </c>
      <c r="B15" s="30" t="n">
        <v>18571.43</v>
      </c>
      <c r="C15" s="30" t="n">
        <v>17111.41</v>
      </c>
      <c r="D15" s="30" t="n">
        <v>11581.09</v>
      </c>
      <c r="E15" s="30" t="n">
        <v>10529</v>
      </c>
      <c r="F15" s="30" t="n">
        <v>9462.559999999999</v>
      </c>
      <c r="G15" s="30" t="n">
        <v>9703.620000000001</v>
      </c>
    </row>
    <row r="16">
      <c r="A16" s="15" t="inlineStr">
        <is>
          <t>Net Worth (Attributable to Owners)</t>
        </is>
      </c>
      <c r="B16" s="31" t="n">
        <v>19075.33</v>
      </c>
      <c r="C16" s="31" t="n">
        <v>17615.31</v>
      </c>
      <c r="D16" s="31" t="n">
        <v>12061.71</v>
      </c>
      <c r="E16" s="31" t="n">
        <v>11009.62</v>
      </c>
      <c r="F16" s="31" t="n">
        <v>9943.18</v>
      </c>
      <c r="G16" s="31" t="n">
        <v>10184.24</v>
      </c>
    </row>
    <row r="17">
      <c r="A17" s="29" t="inlineStr">
        <is>
          <t>Non-Controlling Interests</t>
        </is>
      </c>
      <c r="B17" s="30" t="n">
        <v>633.42</v>
      </c>
      <c r="C17" s="30" t="n">
        <v>600.47</v>
      </c>
      <c r="D17" s="30" t="n">
        <v>535.79</v>
      </c>
      <c r="E17" s="30" t="n">
        <v>446.33</v>
      </c>
      <c r="F17" s="30" t="n">
        <v>35.93</v>
      </c>
      <c r="G17" s="30" t="n">
        <v>36.36</v>
      </c>
    </row>
    <row r="18">
      <c r="A18" s="15" t="inlineStr">
        <is>
          <t>Total Equity</t>
        </is>
      </c>
      <c r="B18" s="31" t="n">
        <v>19708.75</v>
      </c>
      <c r="C18" s="31" t="n">
        <v>18215.78</v>
      </c>
      <c r="D18" s="31" t="n">
        <v>12597.5</v>
      </c>
      <c r="E18" s="31" t="n">
        <v>11455.95</v>
      </c>
      <c r="F18" s="31" t="n">
        <v>9979.110000000001</v>
      </c>
      <c r="G18" s="31" t="n">
        <v>10220.6</v>
      </c>
    </row>
    <row r="19">
      <c r="A19" s="29" t="inlineStr">
        <is>
          <t>Non-current Liabilities (Borrowings, provisions, deferred tax etc.)</t>
        </is>
      </c>
      <c r="B19" s="11" t="n"/>
      <c r="C19" s="11" t="n"/>
      <c r="D19" s="11" t="n"/>
      <c r="E19" s="11" t="n"/>
      <c r="F19" s="30" t="n">
        <v>8895.92</v>
      </c>
      <c r="G19" s="30" t="n">
        <v>8508.27</v>
      </c>
    </row>
    <row r="20">
      <c r="A20" s="29" t="inlineStr">
        <is>
          <t>Current Liabilities (Borrowings, trade payables etc.)</t>
        </is>
      </c>
      <c r="B20" s="11" t="n"/>
      <c r="C20" s="11" t="n"/>
      <c r="D20" s="11" t="n"/>
      <c r="E20" s="11" t="n"/>
      <c r="F20" s="30" t="n">
        <v>6147.67</v>
      </c>
      <c r="G20" s="30" t="n">
        <v>4809.85</v>
      </c>
    </row>
    <row r="21">
      <c r="A21" s="15" t="inlineStr">
        <is>
          <t>TOTAL EQUITY AND LIABILITIES</t>
        </is>
      </c>
      <c r="B21" s="31" t="n">
        <v>45193.28</v>
      </c>
      <c r="C21" s="31" t="n">
        <v>36573.38</v>
      </c>
      <c r="D21" s="31" t="n">
        <v>33392.48</v>
      </c>
      <c r="E21" s="31" t="n">
        <v>29910.18</v>
      </c>
      <c r="F21" s="31" t="n">
        <v>25022.7</v>
      </c>
      <c r="G21" s="31" t="n">
        <v>23538.72</v>
      </c>
    </row>
  </sheetData>
  <mergeCells count="2">
    <mergeCell ref="A2:G2"/>
    <mergeCell ref="A1:G1"/>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4" t="inlineStr">
        <is>
          <t>TORRENT POWER LIMITED — Consolidated Statement of Profit and Loss</t>
        </is>
      </c>
    </row>
    <row r="2" ht="30" customHeight="1">
      <c r="A2" s="25" t="inlineStr">
        <is>
          <t>Sources: Torrent Power Integrated Annual Reports FY21-22 through FY25-26 — 'Consolidated Statement of Profit and Loss' for each year ended. Extends the team's original sheet (FY23-26 only) back to include FY22 and FY21.</t>
        </is>
      </c>
    </row>
    <row r="4">
      <c r="A4" s="26" t="inlineStr">
        <is>
          <t>Particulars (₹ crore)</t>
        </is>
      </c>
      <c r="B4" s="27" t="inlineStr">
        <is>
          <t>FY 2025-26</t>
        </is>
      </c>
      <c r="C4" s="27" t="inlineStr">
        <is>
          <t>FY 2024-25</t>
        </is>
      </c>
      <c r="D4" s="27" t="inlineStr">
        <is>
          <t>FY 2023-24</t>
        </is>
      </c>
      <c r="E4" s="27" t="inlineStr">
        <is>
          <t>FY 2022-23</t>
        </is>
      </c>
      <c r="F4" s="27" t="inlineStr">
        <is>
          <t>FY 2021-22</t>
        </is>
      </c>
      <c r="G4" s="27" t="inlineStr">
        <is>
          <t>FY 2020-21</t>
        </is>
      </c>
    </row>
    <row r="5">
      <c r="A5" s="29" t="inlineStr">
        <is>
          <t>Revenue from Operations</t>
        </is>
      </c>
      <c r="B5" s="30" t="n">
        <v>28966.31</v>
      </c>
      <c r="C5" s="30" t="n">
        <v>29165.26</v>
      </c>
      <c r="D5" s="30" t="n">
        <v>27183.21</v>
      </c>
      <c r="E5" s="30" t="n">
        <v>25694.12</v>
      </c>
      <c r="F5" s="30" t="n">
        <v>14257.61</v>
      </c>
      <c r="G5" s="30" t="n">
        <v>12172.66</v>
      </c>
    </row>
    <row r="6">
      <c r="A6" s="29" t="inlineStr">
        <is>
          <t>Other Income</t>
        </is>
      </c>
      <c r="B6" s="30" t="n">
        <v>322.61</v>
      </c>
      <c r="C6" s="30" t="n">
        <v>487.21</v>
      </c>
      <c r="D6" s="30" t="n">
        <v>344.32</v>
      </c>
      <c r="E6" s="30" t="n">
        <v>381.85</v>
      </c>
      <c r="F6" s="30" t="n">
        <v>235.04</v>
      </c>
      <c r="G6" s="30" t="n">
        <v>141.81</v>
      </c>
    </row>
    <row r="7">
      <c r="A7" s="15" t="inlineStr">
        <is>
          <t>Total Income</t>
        </is>
      </c>
      <c r="B7" s="31" t="n">
        <v>29288.92</v>
      </c>
      <c r="C7" s="31" t="n">
        <v>29652.47</v>
      </c>
      <c r="D7" s="31" t="n">
        <v>27527.53</v>
      </c>
      <c r="E7" s="31" t="n">
        <v>26075.97</v>
      </c>
      <c r="F7" s="31" t="n">
        <v>14492.65</v>
      </c>
      <c r="G7" s="31" t="n">
        <v>12314.47</v>
      </c>
    </row>
    <row r="8">
      <c r="A8" s="28" t="inlineStr">
        <is>
          <t>Expenses</t>
        </is>
      </c>
      <c r="B8" s="11" t="n"/>
      <c r="C8" s="11" t="n"/>
      <c r="D8" s="11" t="n"/>
      <c r="E8" s="11" t="n"/>
      <c r="F8" s="11" t="n"/>
      <c r="G8" s="11" t="n"/>
    </row>
    <row r="9">
      <c r="A9" s="29" t="inlineStr">
        <is>
          <t>Electrical Energy Purchased</t>
        </is>
      </c>
      <c r="B9" s="30" t="n">
        <v>15053.7</v>
      </c>
      <c r="C9" s="30" t="n">
        <v>15289.81</v>
      </c>
      <c r="D9" s="30" t="n">
        <v>13743.27</v>
      </c>
      <c r="E9" s="30" t="n">
        <v>14440.53</v>
      </c>
      <c r="F9" s="30" t="n">
        <v>5116.39</v>
      </c>
      <c r="G9" s="30" t="n">
        <v>3358.36</v>
      </c>
    </row>
    <row r="10">
      <c r="A10" s="29" t="inlineStr">
        <is>
          <t>Fuel Cost</t>
        </is>
      </c>
      <c r="B10" s="30" t="n">
        <v>3944.21</v>
      </c>
      <c r="C10" s="30" t="n">
        <v>4877.69</v>
      </c>
      <c r="D10" s="30" t="n">
        <v>5647.95</v>
      </c>
      <c r="E10" s="30" t="n">
        <v>2508.23</v>
      </c>
      <c r="F10" s="30" t="n">
        <v>3403.4</v>
      </c>
      <c r="G10" s="30" t="n">
        <v>3610.55</v>
      </c>
    </row>
    <row r="11">
      <c r="A11" s="29" t="inlineStr">
        <is>
          <t>Cost of Materials Consumed</t>
        </is>
      </c>
      <c r="B11" s="11" t="n"/>
      <c r="C11" s="30" t="n">
        <v>213.46</v>
      </c>
      <c r="D11" s="30" t="n">
        <v>406.5</v>
      </c>
      <c r="E11" s="30" t="n">
        <v>334.81</v>
      </c>
      <c r="F11" s="30" t="n">
        <v>262.64</v>
      </c>
      <c r="G11" s="30" t="n">
        <v>104.21</v>
      </c>
    </row>
    <row r="12">
      <c r="A12" s="29" t="inlineStr">
        <is>
          <t>Employee Benefits Expense</t>
        </is>
      </c>
      <c r="B12" s="30" t="n">
        <v>705.8</v>
      </c>
      <c r="C12" s="30" t="n">
        <v>689.96</v>
      </c>
      <c r="D12" s="30" t="n">
        <v>611.1900000000001</v>
      </c>
      <c r="E12" s="30" t="n">
        <v>578.25</v>
      </c>
      <c r="F12" s="30" t="n">
        <v>533.54</v>
      </c>
      <c r="G12" s="30" t="n">
        <v>538.9400000000001</v>
      </c>
    </row>
    <row r="13">
      <c r="A13" s="29" t="inlineStr">
        <is>
          <t>Finance Costs</t>
        </is>
      </c>
      <c r="B13" s="30" t="n">
        <v>934.47</v>
      </c>
      <c r="C13" s="30" t="n">
        <v>1044.87</v>
      </c>
      <c r="D13" s="30" t="n">
        <v>943.4</v>
      </c>
      <c r="E13" s="30" t="n">
        <v>818.2</v>
      </c>
      <c r="F13" s="30" t="n">
        <v>628.21</v>
      </c>
      <c r="G13" s="30" t="n">
        <v>775.73</v>
      </c>
    </row>
    <row r="14">
      <c r="A14" s="29" t="inlineStr">
        <is>
          <t>Depreciation &amp; Amortisation</t>
        </is>
      </c>
      <c r="B14" s="30" t="n">
        <v>1612.75</v>
      </c>
      <c r="C14" s="30" t="n">
        <v>1497.12</v>
      </c>
      <c r="D14" s="30" t="n">
        <v>1377.5</v>
      </c>
      <c r="E14" s="30" t="n">
        <v>1280.96</v>
      </c>
      <c r="F14" s="30" t="n">
        <v>1333.86</v>
      </c>
      <c r="G14" s="30" t="n">
        <v>1279.55</v>
      </c>
    </row>
    <row r="15">
      <c r="A15" s="29" t="inlineStr">
        <is>
          <t>Other Expenses</t>
        </is>
      </c>
      <c r="B15" s="30" t="n">
        <v>2127.55</v>
      </c>
      <c r="C15" s="30" t="n">
        <v>1682.96</v>
      </c>
      <c r="D15" s="30" t="n">
        <v>1504.14</v>
      </c>
      <c r="E15" s="30" t="n">
        <v>1223.56</v>
      </c>
      <c r="F15" s="30" t="n">
        <v>1055.76</v>
      </c>
      <c r="G15" s="30" t="n">
        <v>1038.26</v>
      </c>
    </row>
    <row r="16">
      <c r="A16" s="15" t="inlineStr">
        <is>
          <t>Total Expenses</t>
        </is>
      </c>
      <c r="B16" s="31" t="n">
        <v>25972.15</v>
      </c>
      <c r="C16" s="31" t="n">
        <v>26399.89</v>
      </c>
      <c r="D16" s="31" t="n">
        <v>24944.93</v>
      </c>
      <c r="E16" s="31" t="n">
        <v>23034.61</v>
      </c>
      <c r="F16" s="31" t="n">
        <v>12628.68</v>
      </c>
      <c r="G16" s="31" t="n">
        <v>10762.7</v>
      </c>
    </row>
    <row r="17">
      <c r="A17" s="15" t="inlineStr">
        <is>
          <t>Profit Before Exceptional Items and Tax</t>
        </is>
      </c>
      <c r="B17" s="31" t="n">
        <v>3316.77</v>
      </c>
      <c r="C17" s="31" t="n">
        <v>3252.58</v>
      </c>
      <c r="D17" s="31" t="n">
        <v>2582.6</v>
      </c>
      <c r="E17" s="31" t="n">
        <v>3041.36</v>
      </c>
      <c r="F17" s="31" t="n">
        <v>1863.97</v>
      </c>
      <c r="G17" s="31" t="n">
        <v>1551.77</v>
      </c>
    </row>
    <row r="18">
      <c r="A18" s="29" t="inlineStr">
        <is>
          <t>Exceptional Items (DGEN plant impairment, FY22)</t>
        </is>
      </c>
      <c r="B18" s="11" t="n"/>
      <c r="C18" s="11" t="n"/>
      <c r="D18" s="11" t="n"/>
      <c r="E18" s="11" t="n"/>
      <c r="F18" s="30" t="n">
        <v>1300</v>
      </c>
      <c r="G18" s="30" t="n">
        <v>0</v>
      </c>
    </row>
    <row r="19">
      <c r="A19" s="15" t="inlineStr">
        <is>
          <t>Profit Before Tax</t>
        </is>
      </c>
      <c r="B19" s="32" t="n"/>
      <c r="C19" s="32" t="n"/>
      <c r="D19" s="32" t="n"/>
      <c r="E19" s="32" t="n"/>
      <c r="F19" s="31" t="n">
        <v>563.97</v>
      </c>
      <c r="G19" s="31" t="n">
        <v>1551.77</v>
      </c>
    </row>
    <row r="20">
      <c r="A20" s="29" t="inlineStr">
        <is>
          <t>Total Tax Expense</t>
        </is>
      </c>
      <c r="B20" s="11" t="n"/>
      <c r="C20" s="11" t="n"/>
      <c r="D20" s="11" t="n"/>
      <c r="E20" s="11" t="n"/>
      <c r="F20" s="30" t="n">
        <v>105.27</v>
      </c>
      <c r="G20" s="30" t="n">
        <v>255.9</v>
      </c>
    </row>
    <row r="21">
      <c r="A21" s="15" t="inlineStr">
        <is>
          <t>Profit for the Year (PAT, consolidated)</t>
        </is>
      </c>
      <c r="B21" s="31" t="n">
        <v>2469.36</v>
      </c>
      <c r="C21" s="31" t="n">
        <v>3058.61</v>
      </c>
      <c r="D21" s="31" t="n">
        <v>1896</v>
      </c>
      <c r="E21" s="31" t="n">
        <v>2164.67</v>
      </c>
      <c r="F21" s="31" t="n">
        <v>458.7</v>
      </c>
      <c r="G21" s="31" t="n">
        <v>1295.87</v>
      </c>
    </row>
  </sheetData>
  <mergeCells count="2">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2026-07-16T06:03:34Z</dcterms:created>
  <dcterms:modified xsi:type="dcterms:W3CDTF">2026-07-16T06:46:15Z</dcterms:modified>
</cp:coreProperties>
</file>
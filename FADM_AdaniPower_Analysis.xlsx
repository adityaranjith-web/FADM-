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008000"/>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9" t="inlineStr">
        <is>
          <t>Company / Metric</t>
        </is>
      </c>
      <c r="B5" s="9" t="inlineStr">
        <is>
          <t>FY22</t>
        </is>
      </c>
      <c r="C5" s="9" t="inlineStr">
        <is>
          <t>FY23</t>
        </is>
      </c>
      <c r="D5" s="9" t="inlineStr">
        <is>
          <t>FY24</t>
        </is>
      </c>
      <c r="E5" s="9" t="inlineStr">
        <is>
          <t>FY25</t>
        </is>
      </c>
      <c r="F5" s="9" t="inlineStr">
        <is>
          <t>FY26</t>
        </is>
      </c>
      <c r="G5" s="9" t="inlineStr">
        <is>
          <t>4-yr CAGR</t>
        </is>
      </c>
    </row>
    <row r="7">
      <c r="A7" s="2" t="inlineStr">
        <is>
          <t>Adani Power — Revenue / Total Income (₹ cr)</t>
        </is>
      </c>
      <c r="B7" t="n">
        <v>31686.47</v>
      </c>
      <c r="C7" t="n">
        <v>43040.52</v>
      </c>
      <c r="D7" t="n">
        <v>60281.48</v>
      </c>
      <c r="E7" t="n">
        <v>58905.83</v>
      </c>
      <c r="F7" t="n">
        <v>57865.28</v>
      </c>
      <c r="G7" s="12">
        <f>IFERROR(IF(OR(B7="N/A",F7="N/A"),"N/A",(F7/B7)^(1/4)-1),"N/A")</f>
        <v/>
      </c>
    </row>
    <row r="8">
      <c r="A8" s="2" t="inlineStr">
        <is>
          <t>Adani Power — Net Profit / PAT (₹ cr)</t>
        </is>
      </c>
      <c r="B8" t="n">
        <v>4911.58</v>
      </c>
      <c r="C8" t="n">
        <v>10726.64</v>
      </c>
      <c r="D8" t="n">
        <v>20828.79</v>
      </c>
      <c r="E8" t="n">
        <v>12749.61</v>
      </c>
      <c r="F8" t="n">
        <v>12971.08</v>
      </c>
      <c r="G8" s="12">
        <f>IFERROR(IF(OR(B8="N/A",F8="N/A"),"N/A",(F8/B8)^(1/4)-1),"N/A")</f>
        <v/>
      </c>
    </row>
    <row r="9">
      <c r="A9" s="2" t="inlineStr">
        <is>
          <t>Adani Power — Total Assets (₹ cr)</t>
        </is>
      </c>
      <c r="B9" t="n">
        <v>81981.02</v>
      </c>
      <c r="C9" t="n">
        <v>85821.27</v>
      </c>
      <c r="D9" t="n">
        <v>92324.77</v>
      </c>
      <c r="E9" t="n">
        <v>112917.57</v>
      </c>
      <c r="F9" t="n">
        <v>142279.92</v>
      </c>
      <c r="G9" s="12">
        <f>IFERROR(IF(OR(B9="N/A",F9="N/A"),"N/A",(F9/B9)^(1/4)-1),"N/A")</f>
        <v/>
      </c>
    </row>
    <row r="10">
      <c r="A10" s="2" t="inlineStr">
        <is>
          <t>Adani Power — Employees (#)</t>
        </is>
      </c>
      <c r="B10" s="3" t="inlineStr">
        <is>
          <t>N/A</t>
        </is>
      </c>
      <c r="C10" t="n">
        <v>2805</v>
      </c>
      <c r="D10" s="3" t="inlineStr">
        <is>
          <t>N/A</t>
        </is>
      </c>
      <c r="E10" t="n">
        <v>4210</v>
      </c>
      <c r="F10" t="n">
        <v>3967</v>
      </c>
      <c r="G10" s="12">
        <f>IFERROR(IF(OR(B10="N/A",F10="N/A"),"N/A",(F10/B10)^(1/4)-1),"N/A")</f>
        <v/>
      </c>
    </row>
    <row r="11" ht="40" customHeight="1">
      <c r="A11" s="13"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2">
        <f>IFERROR(IF(OR(B13="N/A",F13="N/A"),"N/A",(F13/B13)^(1/4)-1),"N/A")</f>
        <v/>
      </c>
    </row>
    <row r="14">
      <c r="A14" s="2" t="inlineStr">
        <is>
          <t>Tata Power — Net Profit / PAT (₹ cr)</t>
        </is>
      </c>
      <c r="B14" t="n">
        <v>2156</v>
      </c>
      <c r="C14" t="n">
        <v>3810</v>
      </c>
      <c r="D14" t="n">
        <v>4280</v>
      </c>
      <c r="E14" t="n">
        <v>4775</v>
      </c>
      <c r="F14" t="n">
        <v>5118</v>
      </c>
      <c r="G14" s="12">
        <f>IFERROR(IF(OR(B14="N/A",F14="N/A"),"N/A",(F14/B14)^(1/4)-1),"N/A")</f>
        <v/>
      </c>
    </row>
    <row r="15">
      <c r="A15" s="2" t="inlineStr">
        <is>
          <t>Tata Power — Total Assets (₹ cr)</t>
        </is>
      </c>
      <c r="B15" t="n">
        <v>112884.59</v>
      </c>
      <c r="C15" t="n">
        <v>128349.04</v>
      </c>
      <c r="D15" t="n">
        <v>139553.49</v>
      </c>
      <c r="E15" t="n">
        <v>156711.29</v>
      </c>
      <c r="F15" t="n">
        <v>175171.78</v>
      </c>
      <c r="G15" s="12">
        <f>IFERROR(IF(OR(B15="N/A",F15="N/A"),"N/A",(F15/B15)^(1/4)-1),"N/A")</f>
        <v/>
      </c>
    </row>
    <row r="16">
      <c r="A16" s="2" t="inlineStr">
        <is>
          <t>Tata Power — Employees (#)</t>
        </is>
      </c>
      <c r="B16" t="n">
        <v>2815</v>
      </c>
      <c r="C16" t="n">
        <v>3071</v>
      </c>
      <c r="D16" s="3" t="inlineStr">
        <is>
          <t>N/A</t>
        </is>
      </c>
      <c r="E16" t="n">
        <v>3130</v>
      </c>
      <c r="F16" t="n">
        <v>3295</v>
      </c>
      <c r="G16" s="12">
        <f>IFERROR(IF(OR(B16="N/A",F16="N/A"),"N/A",(F16/B16)^(1/4)-1),"N/A")</f>
        <v/>
      </c>
    </row>
    <row r="17" ht="40" customHeight="1">
      <c r="A17" s="13"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2">
        <f>IFERROR(IF(OR(B19="N/A",F19="N/A"),"N/A",(F19/B19)^(1/4)-1),"N/A")</f>
        <v/>
      </c>
    </row>
    <row r="20">
      <c r="A20" s="2" t="inlineStr">
        <is>
          <t>Torrent Power — Net Profit / PAT (₹ cr)</t>
        </is>
      </c>
      <c r="B20" t="n">
        <v>458.7</v>
      </c>
      <c r="C20" t="n">
        <v>2164.67</v>
      </c>
      <c r="D20" t="n">
        <v>1896</v>
      </c>
      <c r="E20" t="n">
        <v>3058.61</v>
      </c>
      <c r="F20" t="n">
        <v>2469.36</v>
      </c>
      <c r="G20" s="12">
        <f>IFERROR(IF(OR(B20="N/A",F20="N/A"),"N/A",(F20/B20)^(1/4)-1),"N/A")</f>
        <v/>
      </c>
    </row>
    <row r="21">
      <c r="A21" s="2" t="inlineStr">
        <is>
          <t>Torrent Power — Total Assets (₹ cr)</t>
        </is>
      </c>
      <c r="B21" t="n">
        <v>25022.7</v>
      </c>
      <c r="C21" t="n">
        <v>29910.18</v>
      </c>
      <c r="D21" t="n">
        <v>33392.48</v>
      </c>
      <c r="E21" t="n">
        <v>36573.38</v>
      </c>
      <c r="F21" t="n">
        <v>45193.28</v>
      </c>
      <c r="G21" s="12">
        <f>IFERROR(IF(OR(B21="N/A",F21="N/A"),"N/A",(F21/B21)^(1/4)-1),"N/A")</f>
        <v/>
      </c>
    </row>
    <row r="22">
      <c r="A22" s="2" t="inlineStr">
        <is>
          <t>Torrent Power — Employees (#)</t>
        </is>
      </c>
      <c r="B22" t="n">
        <v>7603</v>
      </c>
      <c r="C22" t="n">
        <v>6992</v>
      </c>
      <c r="D22" t="n">
        <v>6987</v>
      </c>
      <c r="E22" t="n">
        <v>7213</v>
      </c>
      <c r="F22" t="n">
        <v>6687</v>
      </c>
      <c r="G22" s="12">
        <f>IFERROR(IF(OR(B22="N/A",F22="N/A"),"N/A",(F22/B22)^(1/4)-1),"N/A")</f>
        <v/>
      </c>
    </row>
    <row r="23" ht="40" customHeight="1">
      <c r="A23" s="13"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15" t="inlineStr">
        <is>
          <t>Comments</t>
        </is>
      </c>
    </row>
    <row r="31" ht="100" customHeight="1">
      <c r="A31" s="16"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17:G17"/>
    <mergeCell ref="A31:G35"/>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9" t="inlineStr">
        <is>
          <t>Company / Metric</t>
        </is>
      </c>
      <c r="B5" s="9" t="inlineStr">
        <is>
          <t>FY22</t>
        </is>
      </c>
      <c r="C5" s="9" t="inlineStr">
        <is>
          <t>FY23</t>
        </is>
      </c>
      <c r="D5" s="9" t="inlineStr">
        <is>
          <t>FY24</t>
        </is>
      </c>
      <c r="E5" s="9" t="inlineStr">
        <is>
          <t>FY25</t>
        </is>
      </c>
      <c r="F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row>
    <row r="16">
      <c r="A16" s="15" t="inlineStr">
        <is>
          <t>Comments</t>
        </is>
      </c>
    </row>
    <row r="17" ht="130" customHeight="1">
      <c r="A17" s="16"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15" t="inlineStr">
        <is>
          <t>ADANI POWER — 2 segments: 'Power Generation &amp; related activities' + 'Trading, Investment &amp; other activities'</t>
        </is>
      </c>
    </row>
    <row r="6">
      <c r="A6" s="9" t="inlineStr">
        <is>
          <t>Particulars</t>
        </is>
      </c>
      <c r="B6" s="9" t="inlineStr">
        <is>
          <t>FY22</t>
        </is>
      </c>
      <c r="C6" s="9" t="inlineStr">
        <is>
          <t>FY23</t>
        </is>
      </c>
      <c r="D6" s="9" t="inlineStr">
        <is>
          <t>FY24</t>
        </is>
      </c>
      <c r="E6" s="9" t="inlineStr">
        <is>
          <t>FY25</t>
        </is>
      </c>
      <c r="F6" s="9" t="inlineStr">
        <is>
          <t>FY26</t>
        </is>
      </c>
    </row>
    <row r="7">
      <c r="A7" s="10" t="inlineStr">
        <is>
          <t>Segment Revenue — Power Generation</t>
        </is>
      </c>
      <c r="B7" s="19" t="n">
        <v>27221.78</v>
      </c>
      <c r="C7" s="19" t="n">
        <v>37895.85</v>
      </c>
      <c r="D7" s="19" t="n">
        <v>50014.16</v>
      </c>
      <c r="E7" s="19" t="n">
        <v>56107.06</v>
      </c>
      <c r="F7" s="19" t="n">
        <v>54240.52</v>
      </c>
    </row>
    <row r="8">
      <c r="A8" s="10" t="inlineStr">
        <is>
          <t>Segment Revenue — Trading/Investment/Other</t>
        </is>
      </c>
      <c r="B8" s="19" t="n">
        <v>489.4</v>
      </c>
      <c r="C8" s="19" t="n">
        <v>877.45</v>
      </c>
      <c r="D8" s="19" t="n">
        <v>337.09</v>
      </c>
      <c r="E8" s="19" t="n">
        <v>96.03</v>
      </c>
      <c r="F8" s="19" t="n">
        <v>0</v>
      </c>
    </row>
    <row r="9">
      <c r="A9" s="10" t="inlineStr">
        <is>
          <t>Segment Results — Power Generation</t>
        </is>
      </c>
      <c r="B9" s="19" t="n">
        <v>6571.37</v>
      </c>
      <c r="C9" s="19" t="n">
        <v>6957.13</v>
      </c>
      <c r="D9" s="19" t="n">
        <v>20557.22</v>
      </c>
      <c r="E9" s="19" t="n">
        <v>16540.39</v>
      </c>
      <c r="F9" s="19" t="n">
        <v>15757.55</v>
      </c>
    </row>
    <row r="10">
      <c r="A10" s="10" t="inlineStr">
        <is>
          <t>Segment Results — Trading/Investment/Other</t>
        </is>
      </c>
      <c r="B10" s="19" t="n">
        <v>5.76</v>
      </c>
      <c r="C10" s="19" t="n">
        <v>717.5700000000001</v>
      </c>
      <c r="D10" s="19" t="n">
        <v>234.29</v>
      </c>
      <c r="E10" s="19" t="n">
        <v>-1.81</v>
      </c>
      <c r="F10" s="19" t="n">
        <v>13.68</v>
      </c>
    </row>
    <row r="11">
      <c r="A11" s="10" t="inlineStr">
        <is>
          <t>Segment Assets — Power Generation</t>
        </is>
      </c>
      <c r="B11" s="19" t="n">
        <v>81888.09</v>
      </c>
      <c r="C11" s="19" t="n">
        <v>84364.22</v>
      </c>
      <c r="D11" s="19" t="n">
        <v>91378.85000000001</v>
      </c>
      <c r="E11" s="19" t="n">
        <v>111162.48</v>
      </c>
      <c r="F11" s="19" t="n">
        <v>139777.31</v>
      </c>
    </row>
    <row r="12">
      <c r="A12" s="10" t="inlineStr">
        <is>
          <t>Segment Assets — Trading/Investment/Other</t>
        </is>
      </c>
      <c r="B12" s="19" t="n">
        <v>42.02</v>
      </c>
      <c r="C12" s="19" t="n">
        <v>1134.26</v>
      </c>
      <c r="D12" s="19" t="n">
        <v>203.86</v>
      </c>
      <c r="E12" s="19" t="n">
        <v>1328.18</v>
      </c>
      <c r="F12" s="19" t="n">
        <v>1354.52</v>
      </c>
    </row>
    <row r="13" ht="40" customHeight="1">
      <c r="A13" s="13" t="inlineStr">
        <is>
          <t>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FY22</t>
        </is>
      </c>
      <c r="C16" s="9" t="inlineStr">
        <is>
          <t>FY23</t>
        </is>
      </c>
      <c r="D16" s="9" t="inlineStr">
        <is>
          <t>FY24</t>
        </is>
      </c>
      <c r="E16" s="9" t="inlineStr">
        <is>
          <t>FY25</t>
        </is>
      </c>
      <c r="F16" s="9" t="inlineStr">
        <is>
          <t>FY26</t>
        </is>
      </c>
    </row>
    <row r="17">
      <c r="A17" s="10" t="inlineStr">
        <is>
          <t>Segment Revenue — Generation/Thermal &amp; Hydro</t>
        </is>
      </c>
      <c r="B17" s="19" t="n">
        <v>11211.03</v>
      </c>
      <c r="C17" s="19" t="n">
        <v>18211.35</v>
      </c>
      <c r="D17" s="19" t="n">
        <v>19613.61</v>
      </c>
      <c r="E17" s="19" t="n">
        <v>19739.07</v>
      </c>
      <c r="F17" s="19" t="n">
        <v>11635.93</v>
      </c>
    </row>
    <row r="18">
      <c r="A18" s="10" t="inlineStr">
        <is>
          <t>Segment Revenue — Renewables</t>
        </is>
      </c>
      <c r="B18" s="19" t="n">
        <v>7748.9</v>
      </c>
      <c r="C18" s="19" t="n">
        <v>8196.91</v>
      </c>
      <c r="D18" s="19" t="n">
        <v>10175.29</v>
      </c>
      <c r="E18" s="19" t="n">
        <v>9876.360000000001</v>
      </c>
      <c r="F18" s="19" t="n">
        <v>15027.82</v>
      </c>
    </row>
    <row r="19">
      <c r="A19" s="10" t="inlineStr">
        <is>
          <t>Segment Revenue — Transmission &amp; Distribution</t>
        </is>
      </c>
      <c r="B19" s="19" t="n">
        <v>27493.17</v>
      </c>
      <c r="C19" s="19" t="n">
        <v>34529.36</v>
      </c>
      <c r="D19" s="19" t="n">
        <v>36205.82</v>
      </c>
      <c r="E19" s="19" t="n">
        <v>39120.52</v>
      </c>
      <c r="F19" s="19" t="n">
        <v>41338.59</v>
      </c>
    </row>
    <row r="20">
      <c r="A20" s="10" t="inlineStr">
        <is>
          <t>Segment Revenue — Others</t>
        </is>
      </c>
      <c r="B20" s="19" t="n">
        <v>317.8</v>
      </c>
      <c r="C20" s="19" t="n">
        <v>413.56</v>
      </c>
      <c r="D20" s="19" t="n">
        <v>430.62</v>
      </c>
      <c r="E20" s="19" t="n">
        <v>431.04</v>
      </c>
      <c r="F20" s="19" t="n">
        <v>431.79</v>
      </c>
    </row>
    <row r="21">
      <c r="A21" s="10" t="inlineStr">
        <is>
          <t>Segment Results — Generation/Thermal &amp; Hydro</t>
        </is>
      </c>
      <c r="B21" s="19" t="n">
        <v>2632.75</v>
      </c>
      <c r="C21" s="19" t="n">
        <v>5092.16</v>
      </c>
      <c r="D21" s="19" t="n">
        <v>2569.61</v>
      </c>
      <c r="E21" s="19" t="n">
        <v>2878.91</v>
      </c>
      <c r="F21" s="19" t="n">
        <v>1137.94</v>
      </c>
    </row>
    <row r="22">
      <c r="A22" s="10" t="inlineStr">
        <is>
          <t>Segment Results — Renewables</t>
        </is>
      </c>
      <c r="B22" s="19" t="n">
        <v>1923.57</v>
      </c>
      <c r="C22" s="19" t="n">
        <v>1932.01</v>
      </c>
      <c r="D22" s="19" t="n">
        <v>2147.1</v>
      </c>
      <c r="E22" s="19" t="n">
        <v>2880.68</v>
      </c>
      <c r="F22" s="19" t="n">
        <v>4340.93</v>
      </c>
    </row>
    <row r="23">
      <c r="A23" s="10" t="inlineStr">
        <is>
          <t>Segment Results — Transmission &amp; Distribution</t>
        </is>
      </c>
      <c r="B23" s="19" t="n">
        <v>2138.49</v>
      </c>
      <c r="C23" s="19" t="n">
        <v>2197.68</v>
      </c>
      <c r="D23" s="19" t="n">
        <v>2418.22</v>
      </c>
      <c r="E23" s="19" t="n">
        <v>3128.27</v>
      </c>
      <c r="F23" s="19" t="n">
        <v>4307.95</v>
      </c>
    </row>
    <row r="24">
      <c r="A24" s="10" t="inlineStr">
        <is>
          <t>Segment Results — Others</t>
        </is>
      </c>
      <c r="B24" s="19" t="n">
        <v>-286.03</v>
      </c>
      <c r="C24" s="19" t="n">
        <v>-308.17</v>
      </c>
      <c r="D24" s="19" t="n">
        <v>105.38</v>
      </c>
      <c r="E24" s="19" t="n">
        <v>112.8</v>
      </c>
      <c r="F24" s="19" t="n">
        <v>104.72</v>
      </c>
    </row>
    <row r="25">
      <c r="A25" s="10" t="inlineStr">
        <is>
          <t>Segment Assets — Generation/Thermal &amp; Hydro</t>
        </is>
      </c>
      <c r="B25" s="19" t="n">
        <v>38201.93</v>
      </c>
      <c r="C25" s="19" t="n">
        <v>41201.04</v>
      </c>
      <c r="D25" s="19" t="n">
        <v>39315.88</v>
      </c>
      <c r="E25" s="19" t="n">
        <v>39708.11</v>
      </c>
      <c r="F25" s="19" t="n">
        <v>41697.31</v>
      </c>
    </row>
    <row r="26">
      <c r="A26" s="10" t="inlineStr">
        <is>
          <t>Segment Assets — Renewables</t>
        </is>
      </c>
      <c r="B26" s="19" t="n">
        <v>27589.28</v>
      </c>
      <c r="C26" s="19" t="n">
        <v>29744.49</v>
      </c>
      <c r="D26" s="19" t="n">
        <v>40459.25</v>
      </c>
      <c r="E26" s="19" t="n">
        <v>51355.61</v>
      </c>
      <c r="F26" s="19" t="n">
        <v>56921.28</v>
      </c>
    </row>
    <row r="27">
      <c r="A27" s="10" t="inlineStr">
        <is>
          <t>Segment Assets — Transmission &amp; Distribution</t>
        </is>
      </c>
      <c r="B27" s="19" t="n">
        <v>32411.34</v>
      </c>
      <c r="C27" s="19" t="n">
        <v>37477.26</v>
      </c>
      <c r="D27" s="19" t="n">
        <v>42059.9</v>
      </c>
      <c r="E27" s="19" t="n">
        <v>45707.75</v>
      </c>
      <c r="F27" s="19" t="n">
        <v>53428.87</v>
      </c>
    </row>
    <row r="28">
      <c r="A28" s="10" t="inlineStr">
        <is>
          <t>Segment Assets — Others + Unallocable</t>
        </is>
      </c>
      <c r="B28" s="19" t="n">
        <v>14682.04</v>
      </c>
      <c r="C28" s="19" t="n">
        <v>19926.25</v>
      </c>
      <c r="D28" s="19" t="n">
        <v>17718.46</v>
      </c>
      <c r="E28" s="19" t="n">
        <v>19939.82</v>
      </c>
      <c r="F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94% (per FY26 AOC-1 — earlier reported as 100%)</t>
        </is>
      </c>
      <c r="D6" s="11" t="inlineStr">
        <is>
          <t>1,200+ MW coal thermal, MP; ex-Essar Power MP (CIRP, Mar 2022). FY26: turnover ₹3,614cr, PAT ₹784cr.</t>
        </is>
      </c>
    </row>
    <row r="7" ht="45" customHeight="1">
      <c r="A7" s="11" t="inlineStr">
        <is>
          <t>Adani Power</t>
        </is>
      </c>
      <c r="B7" s="11" t="inlineStr">
        <is>
          <t>Korba Power Ltd (KPL, ex-Lanco Amarkantak)</t>
        </is>
      </c>
      <c r="C7" s="11" t="inlineStr">
        <is>
          <t>100%</t>
        </is>
      </c>
      <c r="D7" s="11" t="inlineStr">
        <is>
          <t>600 MW coal thermal, Chhattisgarh (CIRP, Sep 2024). FY26: turnover ₹1,552cr, PAT ₹354cr.</t>
        </is>
      </c>
    </row>
    <row r="8" ht="45" customHeight="1">
      <c r="A8" s="11" t="inlineStr">
        <is>
          <t>Adani Power</t>
        </is>
      </c>
      <c r="B8" s="11" t="inlineStr">
        <is>
          <t>Moxie Power Generation Ltd (ex-Coastal Energen)</t>
        </is>
      </c>
      <c r="C8" s="11" t="inlineStr">
        <is>
          <t>49% — but consolidated as a SUBSIDIARY in AOC-1 Part A (control basis), not a JV</t>
        </is>
      </c>
      <c r="D8" s="11" t="inlineStr">
        <is>
          <t>1,200 MW, Thoothukudi, Tamil Nadu. FY26: turnover ₹2,985cr, PAT ₹268cr. Listed in AOC-1 subsidiaries despite 49% equity — control established via arrangement with DAIT.</t>
        </is>
      </c>
    </row>
    <row r="9" ht="45" customHeight="1">
      <c r="A9" s="11" t="inlineStr">
        <is>
          <t>Adani Power</t>
        </is>
      </c>
      <c r="B9" s="11" t="inlineStr">
        <is>
          <t>Vidarbha Industries Power Ltd (VIPL)</t>
        </is>
      </c>
      <c r="C9" s="11" t="inlineStr">
        <is>
          <t>100% (acquired 07-Jul-2025)</t>
        </is>
      </c>
      <c r="D9" s="11" t="inlineStr">
        <is>
          <t>600 MW, Nagpur (CIRP). FY26: turnover ₹1,327cr, PAT ₹347cr.</t>
        </is>
      </c>
    </row>
    <row r="10" ht="45" customHeight="1">
      <c r="A10" s="11" t="inlineStr">
        <is>
          <t>Adani Power</t>
        </is>
      </c>
      <c r="B10" s="11" t="inlineStr">
        <is>
          <t>Adani Power Dahej Ltd / Pench Thermal Energy (MP) Ltd / Kutchh Power Generation Ltd</t>
        </is>
      </c>
      <c r="C10" s="11" t="inlineStr">
        <is>
          <t>100% each</t>
        </is>
      </c>
      <c r="D10" s="11" t="inlineStr">
        <is>
          <t>Greenfield thermal project SPVs (Dahej, Pench, Kutchh).</t>
        </is>
      </c>
    </row>
    <row r="11" ht="45" customHeight="1">
      <c r="A11" s="11" t="inlineStr">
        <is>
          <t>Adani Power</t>
        </is>
      </c>
      <c r="B11" s="11" t="inlineStr">
        <is>
          <t>Anuppur Thermal Energy (MP) / Mirzapur Thermal Energy (UP) / Orrisa Thermal Energy</t>
        </is>
      </c>
      <c r="C11" s="11" t="inlineStr">
        <is>
          <t>100% each (acquired/renamed 2024)</t>
        </is>
      </c>
      <c r="D11" s="11" t="inlineStr">
        <is>
          <t>New thermal project SPVs for capacity expansion (Anuppur, Mirzapur, Odisha sites).</t>
        </is>
      </c>
    </row>
    <row r="12" ht="45" customHeight="1">
      <c r="A12" s="11" t="inlineStr">
        <is>
          <t>Adani Power</t>
        </is>
      </c>
      <c r="B12" s="11" t="inlineStr">
        <is>
          <t>Mahan Fuel Management / Resurgent Fuel Management Ltd</t>
        </is>
      </c>
      <c r="C12" s="11" t="inlineStr">
        <is>
          <t>100% each</t>
        </is>
      </c>
      <c r="D12" s="11" t="inlineStr">
        <is>
          <t>Fuel sourcing/management SPVs.</t>
        </is>
      </c>
    </row>
    <row r="13" ht="45" customHeight="1">
      <c r="A13" s="11" t="inlineStr">
        <is>
          <t>Adani Power</t>
        </is>
      </c>
      <c r="B13" s="11" t="inlineStr">
        <is>
          <t>Alcedo / Chandenvalle / Emberiza Infra Park Ltd</t>
        </is>
      </c>
      <c r="C13" s="11" t="inlineStr">
        <is>
          <t>100% each</t>
        </is>
      </c>
      <c r="D13" s="11" t="inlineStr">
        <is>
          <t>Infrastructure park SPVs.</t>
        </is>
      </c>
    </row>
    <row r="14" ht="45" customHeight="1">
      <c r="A14" s="11" t="inlineStr">
        <is>
          <t>Adani Power</t>
        </is>
      </c>
      <c r="B14" s="11" t="inlineStr">
        <is>
          <t>Adani Atomic Energy Ltd (AAEL)</t>
        </is>
      </c>
      <c r="C14" s="11" t="inlineStr">
        <is>
          <t>100% (incorporated 11-Feb-2026)</t>
        </is>
      </c>
      <c r="D14" s="11" t="inlineStr">
        <is>
          <t>Nuclear power entry post SHANTI Act 2025.</t>
        </is>
      </c>
    </row>
    <row r="15" ht="45" customHeight="1">
      <c r="A15" s="11" t="inlineStr">
        <is>
          <t>Adani Power</t>
        </is>
      </c>
      <c r="B15" s="11" t="inlineStr">
        <is>
          <t>Adani Power Middle East Ltd (AED) / Adani Power Global Pte Ltd (US$)</t>
        </is>
      </c>
      <c r="C15" s="11" t="inlineStr">
        <is>
          <t>100% each (incorporated 2024)</t>
        </is>
      </c>
      <c r="D15" s="11" t="inlineStr">
        <is>
          <t>Overseas ventures (Middle East; Singapore trading/holding).</t>
        </is>
      </c>
    </row>
    <row r="16" ht="45" customHeight="1">
      <c r="A16" s="11" t="inlineStr">
        <is>
          <t>Adani Power</t>
        </is>
      </c>
      <c r="B16" s="11" t="inlineStr">
        <is>
          <t>Adani Power Resources Ltd</t>
        </is>
      </c>
      <c r="C16" s="11" t="inlineStr">
        <is>
          <t>51%</t>
        </is>
      </c>
      <c r="D16" s="11" t="inlineStr">
        <is>
          <t>Resource-related SPV (immaterial size).</t>
        </is>
      </c>
    </row>
    <row r="17" ht="45" customHeight="1">
      <c r="A17" s="11" t="inlineStr">
        <is>
          <t>Adani Power</t>
        </is>
      </c>
      <c r="B17" s="11" t="inlineStr">
        <is>
          <t>[TOTAL: 19 entities in FY26 AOC-1 Part A — fully verified]</t>
        </is>
      </c>
      <c r="C17" s="11" t="inlineStr">
        <is>
          <t>—</t>
        </is>
      </c>
      <c r="D17" s="11" t="inlineStr">
        <is>
          <t>The 6 operating cos (Adani Power Maharashtra/Rajasthan, Udupi, Raipur/Raigarh Energen, Adani Power (Mundra)) were amalgamated INTO the parent effective 1-Oct-2021 and no longer appear.</t>
        </is>
      </c>
    </row>
    <row r="18" ht="45" customHeight="1">
      <c r="A18" s="11" t="inlineStr">
        <is>
          <t>Tata Power</t>
        </is>
      </c>
      <c r="B18" s="11" t="inlineStr">
        <is>
          <t>Tata Power Renewable Energy Ltd (TPREL)</t>
        </is>
      </c>
      <c r="C18" s="11" t="inlineStr">
        <is>
          <t>88.57% (per FY26 AOC-1 — VERIFIED; not ~100% as earlier assumed)</t>
        </is>
      </c>
      <c r="D18" s="11" t="inlineStr">
        <is>
          <t>Renewables arm (solar/wind/rooftop/EV charging). FY26: turnover ₹11,748cr, PAT ₹1,268cr. ~11.4% held by BlackRock-led consortium since FY23 equity raise.</t>
        </is>
      </c>
    </row>
    <row r="19" ht="45" customHeight="1">
      <c r="A19" s="11" t="inlineStr">
        <is>
          <t>Tata Power</t>
        </is>
      </c>
      <c r="B19" s="11" t="inlineStr">
        <is>
          <t>Tata Power Delhi Distribution Ltd (Tata Power-DDL)</t>
        </is>
      </c>
      <c r="C19" s="11" t="inlineStr">
        <is>
          <t>51% (VERIFIED per FY26 AOC-1)</t>
        </is>
      </c>
      <c r="D19" s="11" t="inlineStr">
        <is>
          <t>North Delhi discom (JV with Delhi Govt). FY26: turnover ₹10,426cr, PAT ₹1,299cr.</t>
        </is>
      </c>
    </row>
    <row r="20" ht="45" customHeight="1">
      <c r="A20" s="11" t="inlineStr">
        <is>
          <t>Tata Power</t>
        </is>
      </c>
      <c r="B20" s="11" t="inlineStr">
        <is>
          <t>TP Central / Western / Southern / Northern Odisha Distribution Ltds</t>
        </is>
      </c>
      <c r="C20" s="11" t="inlineStr">
        <is>
          <t>51% each (VERIFIED)</t>
        </is>
      </c>
      <c r="D20" s="11" t="inlineStr">
        <is>
          <t>Four Odisha discoms (PPP, 2020-21). FY26 turnover: TPCODL ₹6,313cr, TPWODL ₹6,355cr, TPSODL ₹2,542cr, TPNODL ₹4,769cr; all PAT-positive.</t>
        </is>
      </c>
    </row>
    <row r="21" ht="45" customHeight="1">
      <c r="A21" s="11" t="inlineStr">
        <is>
          <t>Tata Power</t>
        </is>
      </c>
      <c r="B21" s="11" t="inlineStr">
        <is>
          <t>Tata Power Solar Systems Ltd (TPSSL)</t>
        </is>
      </c>
      <c r="C21" s="11" t="inlineStr">
        <is>
          <t>In AOC-1 (100%, via TPREL structure)</t>
        </is>
      </c>
      <c r="D21" s="11" t="inlineStr">
        <is>
          <t>Solar cell/module manufacturing + EPC.</t>
        </is>
      </c>
    </row>
    <row r="22" ht="45" customHeight="1">
      <c r="A22" s="11" t="inlineStr">
        <is>
          <t>Tata Power</t>
        </is>
      </c>
      <c r="B22" s="11" t="inlineStr">
        <is>
          <t>Coastal Gujarat Power Ltd (CGPL) — NOTE</t>
        </is>
      </c>
      <c r="C22" s="11" t="inlineStr">
        <is>
          <t>Merged into parent, 1-Apr-2020</t>
        </is>
      </c>
      <c r="D22" s="11" t="inlineStr">
        <is>
          <t>Mundra UMPP is now a direct Generation-segment asset, not a subsidiary.</t>
        </is>
      </c>
    </row>
    <row r="23" ht="45" customHeight="1">
      <c r="A23" s="11" t="inlineStr">
        <is>
          <t>Tata Power</t>
        </is>
      </c>
      <c r="B23" s="11" t="inlineStr">
        <is>
          <t>[TOTAL: ~113 entities in FY26 AOC-1 Part A]</t>
        </is>
      </c>
      <c r="C23" s="11" t="inlineStr">
        <is>
          <t>—</t>
        </is>
      </c>
      <c r="D23" s="11" t="inlineStr">
        <is>
          <t>Includes dozens of renewable/transmission SPVs under TPREL and Resurgent Power Ventures; full list in FY26 Annual Report pg. 666+ (AOC-1).</t>
        </is>
      </c>
    </row>
    <row r="24" ht="45" customHeight="1">
      <c r="A24" s="11" t="inlineStr">
        <is>
          <t>Torrent Power</t>
        </is>
      </c>
      <c r="B24" s="11" t="inlineStr">
        <is>
          <t>Torrent Power Grid Ltd</t>
        </is>
      </c>
      <c r="C24" s="11" t="inlineStr">
        <is>
          <t>74% (VERIFIED; PowerGrid Corp holds 26%)</t>
        </is>
      </c>
      <c r="D24" s="11" t="inlineStr">
        <is>
          <t>Interstate power transmission JV-structured subsidiary.</t>
        </is>
      </c>
    </row>
    <row r="25" ht="45" customHeight="1">
      <c r="A25" s="11" t="inlineStr">
        <is>
          <t>Torrent Power</t>
        </is>
      </c>
      <c r="B25" s="11" t="inlineStr">
        <is>
          <t>Transmission SPVs (Solapur Transmission Ltd &amp; 4 others at 74%)</t>
        </is>
      </c>
      <c r="C25" s="11" t="inlineStr">
        <is>
          <t>74% each (per FY26 AOC-1)</t>
        </is>
      </c>
      <c r="D25" s="11" t="inlineStr">
        <is>
          <t>Intra/interstate transmission project SPVs.</t>
        </is>
      </c>
    </row>
    <row r="26" ht="45" customHeight="1">
      <c r="A26" s="11" t="inlineStr">
        <is>
          <t>Torrent Power</t>
        </is>
      </c>
      <c r="B26" s="11" t="inlineStr">
        <is>
          <t>Torrent Pipavav Generation Ltd</t>
        </is>
      </c>
      <c r="C26" s="11" t="inlineStr">
        <is>
          <t>95% (VERIFIED)</t>
        </is>
      </c>
      <c r="D26" s="11" t="inlineStr">
        <is>
          <t>Power generation project, Pipavav.</t>
        </is>
      </c>
    </row>
    <row r="27" ht="45" customHeight="1">
      <c r="A27" s="11" t="inlineStr">
        <is>
          <t>Torrent Power</t>
        </is>
      </c>
      <c r="B27" s="11" t="inlineStr">
        <is>
          <t>Dadra &amp; Nagar Haveli and Daman &amp; Diu Power Distribution Corp Ltd</t>
        </is>
      </c>
      <c r="C27" s="11" t="inlineStr">
        <is>
          <t>51% (VERIFIED)</t>
        </is>
      </c>
      <c r="D27" s="11" t="inlineStr">
        <is>
          <t>UT power distribution licensee (acquired Apr 2022).</t>
        </is>
      </c>
    </row>
    <row r="28" ht="45" customHeight="1">
      <c r="A28" s="11" t="inlineStr">
        <is>
          <t>Torrent Power</t>
        </is>
      </c>
      <c r="B28" s="11" t="inlineStr">
        <is>
          <t>Nabha Power Ltd</t>
        </is>
      </c>
      <c r="C28" s="11" t="inlineStr">
        <is>
          <t>100% (acquired Jun 2026)</t>
        </is>
      </c>
      <c r="D28" s="11" t="inlineStr">
        <is>
          <t>2x700 MW supercritical coal plant, Punjab (from L&amp;T).</t>
        </is>
      </c>
    </row>
    <row r="29" ht="45" customHeight="1">
      <c r="A29" s="11" t="inlineStr">
        <is>
          <t>Torrent Power</t>
        </is>
      </c>
      <c r="B29" s="11" t="inlineStr">
        <is>
          <t>Torrent Solargen, Latur Renewable, Surya Vidyut, Torrent Akshay Urja, Jodhpur Wind Farms, MSKVY solar SPVs, Torrent Electricals, Newzone India, etc.</t>
        </is>
      </c>
      <c r="C29" s="11" t="inlineStr">
        <is>
          <t>100% each</t>
        </is>
      </c>
      <c r="D29" s="11" t="inlineStr">
        <is>
          <t>Renewable generation SPVs (solar/wind incl. Maharashtra MSKVY series), cables/electricals, and other ventures.</t>
        </is>
      </c>
    </row>
    <row r="30" ht="45" customHeight="1">
      <c r="A30" s="11" t="inlineStr">
        <is>
          <t>Torrent Power</t>
        </is>
      </c>
      <c r="B30" s="11" t="inlineStr">
        <is>
          <t>[TOTAL: ~60 entities in FY26 AOC-1 — 53 at 100%, 5 at 74%, 1 at 95%, 1 at 51%]</t>
        </is>
      </c>
      <c r="C30" s="11" t="inlineStr">
        <is>
          <t>—</t>
        </is>
      </c>
      <c r="D30" s="11" t="inlineStr">
        <is>
          <t>Verified from the FY26 Annual Report AOC-1 statement.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Wangchhu Hydroelectric Power Ltd (Bhutan)</t>
        </is>
      </c>
      <c r="C6" s="11" t="inlineStr">
        <is>
          <t>JV (per FY26 AOC-1 Part B — the Group's only listed associate/JV)</t>
        </is>
      </c>
      <c r="D6" s="11" t="inlineStr">
        <is>
          <t>570 MW Wangchhu hydro project JV with Druk Green Power Corp (~₹6,000 cr); Shareholders Agreement Sep 2025; 'yet to commence operations' per AOC-1. VERIFIED.</t>
        </is>
      </c>
    </row>
    <row r="7" ht="45" customHeight="1">
      <c r="A7" s="11" t="inlineStr">
        <is>
          <t>Adani Power</t>
        </is>
      </c>
      <c r="B7" s="11" t="inlineStr">
        <is>
          <t>Moxie Power Generation Ltd — RECLASSIFIED</t>
        </is>
      </c>
      <c r="C7" s="11" t="inlineStr">
        <is>
          <t>49% equity but consolidated as SUBSIDIARY (see Sheet 7)</t>
        </is>
      </c>
      <c r="D7" s="11" t="inlineStr">
        <is>
          <t>CORRECTION: earlier flagged as a JV; the FY26 AOC-1 lists it under Part A (Subsidiaries) — Adani has control despite 49% equity.</t>
        </is>
      </c>
    </row>
    <row r="8" ht="45" customHeight="1">
      <c r="A8" s="11" t="inlineStr">
        <is>
          <t>Adani Power</t>
        </is>
      </c>
      <c r="B8" s="11" t="inlineStr">
        <is>
          <t>Jaiprakash Power Ventures Ltd (JPVL)</t>
        </is>
      </c>
      <c r="C8" s="11" t="inlineStr">
        <is>
          <t>24% (indirect, via resolution plan)</t>
        </is>
      </c>
      <c r="D8" s="11" t="inlineStr">
        <is>
          <t>Adani Power as 'Implementing Entity'; NCLT-approved ~Mar 2026 (~₹14,535 cr). Not yet in FY26 AOC-1 Part B (transaction completing post year-end).</t>
        </is>
      </c>
    </row>
    <row r="9" ht="45" customHeight="1">
      <c r="A9" s="11" t="inlineStr">
        <is>
          <t>Tata Power</t>
        </is>
      </c>
      <c r="B9" s="11" t="inlineStr">
        <is>
          <t>Tata Projects, Resurgent Power Ventures (26%), industrial JVs &amp; associates</t>
        </is>
      </c>
      <c r="C9" s="11" t="inlineStr">
        <is>
          <t>Various</t>
        </is>
      </c>
      <c r="D9" s="11" t="inlineStr">
        <is>
          <t>Tata Power holds numerous associates/JVs (share of profit ₹708cr FY26, ₹793cr FY25 per consolidated P&amp;L); full Part B list in FY26 Annual Report AOC-1.</t>
        </is>
      </c>
    </row>
    <row r="10" ht="45" customHeight="1">
      <c r="A10" s="11" t="inlineStr">
        <is>
          <t>Tata Power</t>
        </is>
      </c>
      <c r="B10" s="11" t="inlineStr">
        <is>
          <t>Dorjilung Hydro Power Ltd (Bhutan)</t>
        </is>
      </c>
      <c r="C10" s="11" t="inlineStr">
        <is>
          <t>Stake not disclosed in extract</t>
        </is>
      </c>
      <c r="D10" s="11" t="inlineStr">
        <is>
          <t>1,125 MW hydro project under development with Druk Green.</t>
        </is>
      </c>
    </row>
    <row r="11" ht="45" customHeight="1">
      <c r="A11" s="11" t="inlineStr">
        <is>
          <t>Torrent Power</t>
        </is>
      </c>
      <c r="B11" s="11" t="inlineStr">
        <is>
          <t>Associates (2 per earlier AOC-1 references)</t>
        </is>
      </c>
      <c r="C11" s="11" t="inlineStr">
        <is>
          <t>Not extracted</t>
        </is>
      </c>
      <c r="D11" s="11"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1"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1" t="inlineStr">
        <is>
          <t>VERIFIED (FY23 Annual Report)</t>
        </is>
      </c>
    </row>
    <row r="7" ht="70" customHeight="1">
      <c r="A7" s="11" t="inlineStr">
        <is>
          <t>Tata Power</t>
        </is>
      </c>
      <c r="B7" s="11"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1" t="inlineStr">
        <is>
          <t>VERIFIED (FY23 Annual Report) — replaces earlier unverified figure</t>
        </is>
      </c>
    </row>
    <row r="8" ht="70" customHeight="1">
      <c r="A8" s="11" t="inlineStr">
        <is>
          <t>Torrent Power</t>
        </is>
      </c>
      <c r="B8" s="11" t="inlineStr">
        <is>
          <t>VERIFIED from FY23 consolidated Investments notes: NON-CURRENT — quoted investments (incl. Government of India bonds held as the GERC Multi-Year-Tariff-mandated 'contingency reserve' for its Gujarat distribution licences) of ~₹15.94cr market value ₹15.70cr as at 31-Mar-2023 (down from ₹132.82cr FY22 as bonds matured/were reclassified). CURRENT — ₹682.31cr total (vs ₹253.27cr FY22): unquoted mutual funds ₹656.03cr + statutory contingency-reserve investments ₹1.93cr + other ₹24.35cr. The GoI-bond holdings are regulatory-mandated (usable only for GERC-specified purposes), not discretionary treasury.</t>
        </is>
      </c>
      <c r="C8" s="11" t="inlineStr">
        <is>
          <t>VERIFIED (FY23 Annual Report)</t>
        </is>
      </c>
    </row>
    <row r="10">
      <c r="A10" s="20"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9" t="inlineStr">
        <is>
          <t>Metric</t>
        </is>
      </c>
      <c r="B5" s="9" t="inlineStr">
        <is>
          <t>Adani Power</t>
        </is>
      </c>
      <c r="C5" s="9" t="inlineStr">
        <is>
          <t>Tata Power</t>
        </is>
      </c>
      <c r="D5" s="9" t="inlineStr">
        <is>
          <t>Torrent Power</t>
        </is>
      </c>
      <c r="E5" s="9" t="inlineStr">
        <is>
          <t>Nifty Energy (sector)</t>
        </is>
      </c>
      <c r="F5" s="9" t="inlineStr">
        <is>
          <t>Nifty 50 (market)</t>
        </is>
      </c>
    </row>
    <row r="6" ht="26" customHeight="1">
      <c r="A6" s="11" t="inlineStr">
        <is>
          <t>Price at start (14-Jul-2025, adj)</t>
        </is>
      </c>
      <c r="B6" s="11" t="inlineStr">
        <is>
          <t>118.93</t>
        </is>
      </c>
      <c r="C6" s="11" t="inlineStr">
        <is>
          <t>405.39</t>
        </is>
      </c>
      <c r="D6" s="11" t="inlineStr">
        <is>
          <t>1,349.89</t>
        </is>
      </c>
      <c r="E6" s="11" t="inlineStr">
        <is>
          <t>36,231.65</t>
        </is>
      </c>
      <c r="F6" s="11" t="inlineStr">
        <is>
          <t>24,968.40</t>
        </is>
      </c>
    </row>
    <row r="7" ht="26" customHeight="1">
      <c r="A7" s="11" t="inlineStr">
        <is>
          <t>Price at end (15-Jul-2026)</t>
        </is>
      </c>
      <c r="B7" s="11" t="inlineStr">
        <is>
          <t>218.97</t>
        </is>
      </c>
      <c r="C7" s="11" t="inlineStr">
        <is>
          <t>380.90</t>
        </is>
      </c>
      <c r="D7" s="11" t="inlineStr">
        <is>
          <t>1,441.10</t>
        </is>
      </c>
      <c r="E7" s="11" t="inlineStr">
        <is>
          <t>39,381.25</t>
        </is>
      </c>
      <c r="F7" s="11" t="inlineStr">
        <is>
          <t>24,078.50</t>
        </is>
      </c>
    </row>
    <row r="8" ht="26" customHeight="1">
      <c r="A8" s="11" t="inlineStr">
        <is>
          <t>52-week weekly-close range</t>
        </is>
      </c>
      <c r="B8" s="11" t="inlineStr">
        <is>
          <t>113.40 - 243.37</t>
        </is>
      </c>
      <c r="C8" s="11" t="inlineStr">
        <is>
          <t>343.12 - 441.81</t>
        </is>
      </c>
      <c r="D8" s="11" t="inlineStr">
        <is>
          <t>1,204.41 - 1,730.01</t>
        </is>
      </c>
      <c r="E8" s="11" t="inlineStr">
        <is>
          <t>33,098.30 - 40,878.00</t>
        </is>
      </c>
      <c r="F8" s="11" t="inlineStr">
        <is>
          <t>22,713.10 - 26,328.55</t>
        </is>
      </c>
    </row>
    <row r="9" ht="26" customHeight="1">
      <c r="A9" s="11" t="inlineStr">
        <is>
          <t>1-year return (COMPUTED)</t>
        </is>
      </c>
      <c r="B9" s="11" t="inlineStr">
        <is>
          <t>+84.1%</t>
        </is>
      </c>
      <c r="C9" s="11" t="inlineStr">
        <is>
          <t>-6.0%</t>
        </is>
      </c>
      <c r="D9" s="11" t="inlineStr">
        <is>
          <t>+6.8%</t>
        </is>
      </c>
      <c r="E9" s="11" t="inlineStr">
        <is>
          <t>+8.7%</t>
        </is>
      </c>
      <c r="F9" s="11" t="inlineStr">
        <is>
          <t>-3.6%</t>
        </is>
      </c>
    </row>
    <row r="10" ht="26" customHeight="1">
      <c r="A10" s="11" t="inlineStr">
        <is>
          <t>Weekly return std dev (COMPUTED)</t>
        </is>
      </c>
      <c r="B10" s="11" t="inlineStr">
        <is>
          <t>4.95%</t>
        </is>
      </c>
      <c r="C10" s="11" t="inlineStr">
        <is>
          <t>2.90%</t>
        </is>
      </c>
      <c r="D10" s="11" t="inlineStr">
        <is>
          <t>4.55%</t>
        </is>
      </c>
      <c r="E10" s="11" t="inlineStr">
        <is>
          <t>2.30%</t>
        </is>
      </c>
      <c r="F10" s="11" t="inlineStr">
        <is>
          <t>1.70%</t>
        </is>
      </c>
    </row>
    <row r="11" ht="26" customHeight="1">
      <c r="A11" s="11" t="inlineStr">
        <is>
          <t>Annualized volatility = sd x sqrt(52)</t>
        </is>
      </c>
      <c r="B11" s="11" t="inlineStr">
        <is>
          <t>35.7%</t>
        </is>
      </c>
      <c r="C11" s="11" t="inlineStr">
        <is>
          <t>20.9%</t>
        </is>
      </c>
      <c r="D11" s="11" t="inlineStr">
        <is>
          <t>32.8%</t>
        </is>
      </c>
      <c r="E11" s="11" t="inlineStr">
        <is>
          <t>16.6%</t>
        </is>
      </c>
      <c r="F11" s="11" t="inlineStr">
        <is>
          <t>12.3%</t>
        </is>
      </c>
    </row>
    <row r="12" ht="26" customHeight="1">
      <c r="A12" s="11" t="inlineStr">
        <is>
          <t>Beta vs Nifty 50 / market (COMPUTED)</t>
        </is>
      </c>
      <c r="B12" s="11" t="inlineStr">
        <is>
          <t>1.13</t>
        </is>
      </c>
      <c r="C12" s="11" t="inlineStr">
        <is>
          <t>0.62</t>
        </is>
      </c>
      <c r="D12" s="11" t="inlineStr">
        <is>
          <t>1.46</t>
        </is>
      </c>
      <c r="E12" s="11" t="inlineStr">
        <is>
          <t>0.03</t>
        </is>
      </c>
      <c r="F12" s="11" t="inlineStr">
        <is>
          <t>1.00</t>
        </is>
      </c>
    </row>
    <row r="13" ht="26" customHeight="1">
      <c r="A13" s="11" t="inlineStr">
        <is>
          <t>Beta vs Nifty Energy / sector (COMPUTED)</t>
        </is>
      </c>
      <c r="B13" s="11" t="inlineStr">
        <is>
          <t>0.54</t>
        </is>
      </c>
      <c r="C13" s="11" t="inlineStr">
        <is>
          <t>0.03</t>
        </is>
      </c>
      <c r="D13" s="11" t="inlineStr">
        <is>
          <t>0.30</t>
        </is>
      </c>
      <c r="E13" s="11" t="inlineStr">
        <is>
          <t>1.00</t>
        </is>
      </c>
      <c r="F13" s="11" t="inlineStr">
        <is>
          <t>n/a</t>
        </is>
      </c>
    </row>
    <row r="14" ht="26" customHeight="1">
      <c r="A14" s="11" t="inlineStr">
        <is>
          <t>Return vs market (stock - Nifty 50)</t>
        </is>
      </c>
      <c r="B14" s="11" t="inlineStr">
        <is>
          <t>+87.7 pts</t>
        </is>
      </c>
      <c r="C14" s="11" t="inlineStr">
        <is>
          <t>-2.5 pts</t>
        </is>
      </c>
      <c r="D14" s="11" t="inlineStr">
        <is>
          <t>+10.3 pts</t>
        </is>
      </c>
      <c r="E14" s="11" t="inlineStr">
        <is>
          <t>+12.3 pts</t>
        </is>
      </c>
      <c r="F14" s="11" t="inlineStr">
        <is>
          <t>—</t>
        </is>
      </c>
    </row>
    <row r="15" ht="26" customHeight="1">
      <c r="A15" s="11" t="inlineStr">
        <is>
          <t>Return vs sector (stock - Nifty Energy)</t>
        </is>
      </c>
      <c r="B15" s="11" t="inlineStr">
        <is>
          <t>+75.4 pts</t>
        </is>
      </c>
      <c r="C15" s="11" t="inlineStr">
        <is>
          <t>-14.7 pts</t>
        </is>
      </c>
      <c r="D15" s="11" t="inlineStr">
        <is>
          <t>-1.9 pts</t>
        </is>
      </c>
      <c r="E15" s="11" t="inlineStr">
        <is>
          <t>—</t>
        </is>
      </c>
      <c r="F15" s="11" t="inlineStr">
        <is>
          <t>—</t>
        </is>
      </c>
    </row>
    <row r="17">
      <c r="A17" s="21" t="inlineStr">
        <is>
          <t>Data note</t>
        </is>
      </c>
    </row>
    <row r="18" ht="60" customHeight="1">
      <c r="A18" s="16"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15" t="inlineStr">
        <is>
          <t>Comments — which share is most volatile?</t>
        </is>
      </c>
    </row>
    <row r="23" ht="130" customHeight="1">
      <c r="A23" s="16"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2"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15" t="inlineStr">
        <is>
          <t>Priority list — verify these before submission</t>
        </is>
      </c>
    </row>
    <row r="14" ht="30" customHeight="1">
      <c r="A14" s="16" t="inlineStr">
        <is>
          <t>1. Year-end (31-Mar) share prices, FY22-FY26, all three companies — still not filled; pull from NSE historical data or Yahoo Finance (split-adjust Adani Power for its Sep-2025 1:5 split).</t>
        </is>
      </c>
    </row>
    <row r="15" ht="30" customHeight="1">
      <c r="A15" s="16" t="inlineStr">
        <is>
          <t>2. Total Assets — DONE: fully VERIFIED FY22-FY26 for all three companies from the Annual Reports.</t>
        </is>
      </c>
    </row>
    <row r="16" ht="30" customHeight="1">
      <c r="A16" s="16"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17" ht="30" customHeight="1">
      <c r="A17" s="16" t="inlineStr">
        <is>
          <t>4. Segment-wise (Ind AS 108) tables — DONE: Sheet 6 carries verified segment revenue/results/assets for Adani Power and Tata Power (FY22-FY26), plus the verified finding that Torrent Power reports NO segments under Ind AS 108 (single integrated business).</t>
        </is>
      </c>
    </row>
    <row r="18" ht="30" customHeight="1">
      <c r="A18" s="16" t="inlineStr">
        <is>
          <t>5. Weekly price series — DONE: 54-week adjusted-close series for all 3 stocks + Nifty 50 + Nifty Energy parsed from Yahoo HTML files in the repo; returns, volatility, and market &amp; sector betas computed in Sheet 11. Still open: year-end FY22-FY26 share prices for the Sheet 2 growth table.</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6" t="inlineStr">
        <is>
          <t>8. Investments (ex subsidiaries/associates/JVs) as at 31-Mar-2023 — DONE: Sheet 9 now carries verified figures from all three FY23 Annual Reports (Adani ₹42.51cr non-current + ₹611.54cr MFs; Tata ₹1,301.21cr; Torrent ₹15.94cr bonds + ₹682.31cr current).</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2026-07-16T05:42:03Z</dcterms:created>
  <dcterms:modified xsi:type="dcterms:W3CDTF">2026-07-16T05:42:03Z</dcterms:modified>
</cp:coreProperties>
</file>
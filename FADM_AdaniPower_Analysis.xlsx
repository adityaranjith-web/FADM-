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Raw_Data_Consolidated" sheetId="3" state="visible" r:id="rId3"/>
    <sheet name="1_Business_Overview" sheetId="4" state="visible" r:id="rId4"/>
    <sheet name="2_Growth_Comparison" sheetId="5" state="visible" r:id="rId5"/>
    <sheet name="2b_Growth_Chart_Data" sheetId="6" state="hidden" r:id="rId6"/>
    <sheet name="3_Sales_per_Asset_Employee" sheetId="7" state="visible" r:id="rId7"/>
    <sheet name="4_Acquisitions" sheetId="8" state="visible" r:id="rId8"/>
    <sheet name="5_Shareholding_Pattern" sheetId="9" state="visible" r:id="rId9"/>
    <sheet name="6_Business_Segments" sheetId="10" state="visible" r:id="rId10"/>
    <sheet name="6b_Segment_Chart_Data" sheetId="11" state="hidden" r:id="rId11"/>
    <sheet name="7_Group_Structure" sheetId="12" state="visible" r:id="rId12"/>
    <sheet name="8_Associates_JVs" sheetId="13" state="visible" r:id="rId13"/>
    <sheet name="9_Investments" sheetId="14" state="visible" r:id="rId14"/>
    <sheet name="10_Financing_Changes" sheetId="15" state="visible" r:id="rId15"/>
    <sheet name="11_Returns_Volatility" sheetId="16" state="visible" r:id="rId16"/>
    <sheet name="Weekly_Price_Data" sheetId="17" state="visible" r:id="rId17"/>
    <sheet name="12_Major_Announcements" sheetId="18" state="visible" r:id="rId18"/>
    <sheet name="12b_Announcement_Chart_Data" sheetId="19" state="hidden" r:id="rId19"/>
    <sheet name="13_Sources_and_Gaps" sheetId="20" state="visible" r:id="rId20"/>
    <sheet name="14_References" sheetId="21" state="visible" r:id="rId21"/>
    <sheet name="Adani_BS_Consolidated" sheetId="22" state="visible" r:id="rId22"/>
    <sheet name="Adani_PL_Consolidated" sheetId="23" state="visible" r:id="rId23"/>
    <sheet name="Tata_BS_Consolidated" sheetId="24" state="visible" r:id="rId24"/>
    <sheet name="Tata_PL_Consolidated" sheetId="25" state="visible" r:id="rId25"/>
    <sheet name="Torrent_BS_Consolidated" sheetId="26" state="visible" r:id="rId26"/>
    <sheet name="Torrent_PL_Consolidated" sheetId="27" state="visible" r:id="rId2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7">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color rgb="000000FF"/>
    </font>
    <font>
      <b val="1"/>
      <color rgb="001F4E78"/>
      <sz val="11"/>
    </font>
    <font>
      <b val="1"/>
      <i val="1"/>
    </font>
    <font>
      <color rgb="00000000"/>
      <sz val="10"/>
    </font>
    <font>
      <color rgb="00000000"/>
      <sz val="9"/>
    </font>
    <font>
      <b val="1"/>
      <color rgb="00000000"/>
      <sz val="10"/>
    </font>
    <font>
      <i val="1"/>
      <color rgb="00008000"/>
      <sz val="9"/>
    </font>
    <font>
      <color rgb="001F4E78"/>
    </font>
    <font>
      <color rgb="00000000"/>
    </font>
    <font>
      <b val="1"/>
      <color rgb="00008000"/>
    </font>
    <font>
      <b val="1"/>
      <i val="1"/>
      <color rgb="00C00000"/>
      <sz val="10"/>
    </font>
    <font>
      <b val="1"/>
      <color rgb="00008000"/>
      <sz val="12"/>
    </font>
    <font>
      <b val="1"/>
      <color rgb="00FFFFFF"/>
    </font>
    <font/>
    <font>
      <b val="1"/>
      <color rgb="001F4E78"/>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12" fillId="0" borderId="1" pivotButton="0" quotePrefix="0" xfId="0"/>
    <xf numFmtId="0" fontId="10" fillId="0" borderId="0" applyAlignment="1" pivotButton="0" quotePrefix="0" xfId="0">
      <alignment vertical="top" wrapText="1"/>
    </xf>
    <xf numFmtId="0" fontId="0" fillId="2" borderId="1" pivotButton="0" quotePrefix="0" xfId="0"/>
    <xf numFmtId="0" fontId="2" fillId="0" borderId="1" pivotButton="0" quotePrefix="0" xfId="0"/>
    <xf numFmtId="0" fontId="0" fillId="0" borderId="1" applyAlignment="1" pivotButton="0" quotePrefix="0" xfId="0">
      <alignment vertical="top" wrapText="1"/>
    </xf>
    <xf numFmtId="0" fontId="13" fillId="0" borderId="0" pivotButton="0" quotePrefix="0" xfId="0"/>
    <xf numFmtId="4" fontId="0" fillId="0" borderId="0" pivotButton="0" quotePrefix="0" xfId="0"/>
    <xf numFmtId="3" fontId="0" fillId="0" borderId="0" pivotButton="0" quotePrefix="0" xfId="0"/>
    <xf numFmtId="164" fontId="0" fillId="0" borderId="0" pivotButton="0" quotePrefix="0" xfId="0"/>
    <xf numFmtId="0" fontId="14" fillId="0" borderId="0" pivotButton="0" quotePrefix="0" xfId="0"/>
    <xf numFmtId="2" fontId="0" fillId="0" borderId="0" pivotButton="0" quotePrefix="0" xfId="0"/>
    <xf numFmtId="0" fontId="8" fillId="0" borderId="0" applyAlignment="1" pivotButton="0" quotePrefix="0" xfId="0">
      <alignment vertical="top" wrapText="1"/>
    </xf>
    <xf numFmtId="0" fontId="15" fillId="0" borderId="0" applyAlignment="1" pivotButton="0" quotePrefix="0" xfId="0">
      <alignment vertical="top" wrapText="1"/>
    </xf>
    <xf numFmtId="4" fontId="0" fillId="0" borderId="1"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3" fillId="0" borderId="0" applyAlignment="1" pivotButton="0" quotePrefix="0" xfId="0">
      <alignment vertical="top" wrapText="1"/>
    </xf>
    <xf numFmtId="0" fontId="0" fillId="2" borderId="1" applyAlignment="1" pivotButton="0" quotePrefix="0" xfId="0">
      <alignment vertical="top" wrapText="1"/>
    </xf>
    <xf numFmtId="3" fontId="0" fillId="0" borderId="1" pivotButton="0" quotePrefix="0" xfId="0"/>
    <xf numFmtId="10" fontId="0" fillId="0" borderId="1" pivotButton="0" quotePrefix="0" xfId="0"/>
    <xf numFmtId="10" fontId="0" fillId="0" borderId="0" pivotButton="0" quotePrefix="0" xfId="0"/>
    <xf numFmtId="0" fontId="18" fillId="0" borderId="0" applyAlignment="1" pivotButton="0" quotePrefix="0" xfId="0">
      <alignment vertical="top" wrapText="1"/>
    </xf>
    <xf numFmtId="0" fontId="5" fillId="0" borderId="0" pivotButton="0" quotePrefix="0" xfId="0"/>
    <xf numFmtId="4" fontId="0" fillId="0" borderId="1" pivotButton="0" quotePrefix="0" xfId="0"/>
    <xf numFmtId="4" fontId="19" fillId="0" borderId="1" applyAlignment="1" pivotButton="0" quotePrefix="0" xfId="0">
      <alignment vertical="top" wrapText="1"/>
    </xf>
    <xf numFmtId="165" fontId="19" fillId="0" borderId="1" applyAlignment="1" pivotButton="0" quotePrefix="0" xfId="0">
      <alignment vertical="top" wrapText="1"/>
    </xf>
    <xf numFmtId="10" fontId="19" fillId="0" borderId="1" applyAlignment="1" pivotButton="0" quotePrefix="0" xfId="0">
      <alignment vertical="top" wrapText="1"/>
    </xf>
    <xf numFmtId="4" fontId="20" fillId="0" borderId="1" applyAlignment="1" pivotButton="0" quotePrefix="0" xfId="0">
      <alignment vertical="top" wrapText="1"/>
    </xf>
    <xf numFmtId="165" fontId="20" fillId="0" borderId="1" applyAlignment="1" pivotButton="0" quotePrefix="0" xfId="0">
      <alignment vertical="top" wrapText="1"/>
    </xf>
    <xf numFmtId="0" fontId="21" fillId="0" borderId="0" pivotButton="0" quotePrefix="0" xfId="0"/>
    <xf numFmtId="10" fontId="12" fillId="0" borderId="0" pivotButton="0" quotePrefix="0" xfId="0"/>
    <xf numFmtId="0" fontId="22" fillId="0" borderId="0" pivotButton="0" quotePrefix="0" xfId="0"/>
    <xf numFmtId="0" fontId="23" fillId="0" borderId="0" pivotButton="0" quotePrefix="0" xfId="0"/>
    <xf numFmtId="0" fontId="10" fillId="0" borderId="0" applyAlignment="1" pivotButton="0" quotePrefix="0" xfId="0">
      <alignment wrapText="1"/>
    </xf>
    <xf numFmtId="0" fontId="24" fillId="3" borderId="0" pivotButton="0" quotePrefix="0" xfId="0"/>
    <xf numFmtId="0" fontId="24" fillId="3" borderId="0" applyAlignment="1" pivotButton="0" quotePrefix="0" xfId="0">
      <alignment horizontal="center"/>
    </xf>
    <xf numFmtId="0" fontId="14" fillId="0" borderId="1" pivotButton="0" quotePrefix="0" xfId="0"/>
    <xf numFmtId="0" fontId="25" fillId="0" borderId="1" pivotButton="0" quotePrefix="0" xfId="0"/>
    <xf numFmtId="4" fontId="2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Revenue from Operations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Adani/Torrent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ser>
          <idx val="4"/>
          <order val="4"/>
          <tx>
            <strRef>
              <f>'6b_Segment_Chart_Data'!F1</f>
            </strRef>
          </tx>
          <spPr>
            <a:ln>
              <a:prstDash val="solid"/>
            </a:ln>
          </spPr>
          <marker>
            <symbol val="none"/>
            <spPr>
              <a:ln>
                <a:prstDash val="solid"/>
              </a:ln>
            </spPr>
          </marker>
          <cat>
            <numRef>
              <f>'6b_Segment_Chart_Data'!$A$2:$A$6</f>
            </numRef>
          </cat>
          <val>
            <numRef>
              <f>'6b_Segment_Chart_Data'!$F$2:$F$6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Performance, Rebased to 100 (weekly, 27-Jun-2025 = 100)</a:t>
            </a:r>
          </a:p>
        </rich>
      </tx>
    </title>
    <plotArea>
      <lineChart>
        <grouping val="standard"/>
        <ser>
          <idx val="0"/>
          <order val="0"/>
          <tx>
            <strRef>
              <f>'Weekly_Price_Data'!K1</f>
            </strRef>
          </tx>
          <spPr>
            <a:ln>
              <a:prstDash val="solid"/>
            </a:ln>
          </spPr>
          <marker>
            <symbol val="none"/>
            <spPr>
              <a:ln>
                <a:prstDash val="solid"/>
              </a:ln>
            </spPr>
          </marker>
          <cat>
            <numRef>
              <f>'Weekly_Price_Data'!$A$2:$A$46</f>
            </numRef>
          </cat>
          <val>
            <numRef>
              <f>'Weekly_Price_Data'!$K$2:$K$46</f>
            </numRef>
          </val>
        </ser>
        <ser>
          <idx val="1"/>
          <order val="1"/>
          <tx>
            <strRef>
              <f>'Weekly_Price_Data'!L1</f>
            </strRef>
          </tx>
          <spPr>
            <a:ln>
              <a:prstDash val="solid"/>
            </a:ln>
          </spPr>
          <marker>
            <symbol val="none"/>
            <spPr>
              <a:ln>
                <a:prstDash val="solid"/>
              </a:ln>
            </spPr>
          </marker>
          <cat>
            <numRef>
              <f>'Weekly_Price_Data'!$A$2:$A$46</f>
            </numRef>
          </cat>
          <val>
            <numRef>
              <f>'Weekly_Price_Data'!$L$2:$L$46</f>
            </numRef>
          </val>
        </ser>
        <ser>
          <idx val="2"/>
          <order val="2"/>
          <tx>
            <strRef>
              <f>'Weekly_Price_Data'!M1</f>
            </strRef>
          </tx>
          <spPr>
            <a:ln>
              <a:prstDash val="solid"/>
            </a:ln>
          </spPr>
          <marker>
            <symbol val="none"/>
            <spPr>
              <a:ln>
                <a:prstDash val="solid"/>
              </a:ln>
            </spPr>
          </marker>
          <cat>
            <numRef>
              <f>'Weekly_Price_Data'!$A$2:$A$46</f>
            </numRef>
          </cat>
          <val>
            <numRef>
              <f>'Weekly_Price_Data'!$M$2:$M$46</f>
            </numRef>
          </val>
        </ser>
        <ser>
          <idx val="3"/>
          <order val="3"/>
          <tx>
            <strRef>
              <f>'Weekly_Price_Data'!N1</f>
            </strRef>
          </tx>
          <spPr>
            <a:ln>
              <a:prstDash val="solid"/>
            </a:ln>
          </spPr>
          <marker>
            <symbol val="none"/>
            <spPr>
              <a:ln>
                <a:prstDash val="solid"/>
              </a:ln>
            </spPr>
          </marker>
          <cat>
            <numRef>
              <f>'Weekly_Price_Data'!$A$2:$A$46</f>
            </numRef>
          </cat>
          <val>
            <numRef>
              <f>'Weekly_Price_Data'!$N$2:$N$46</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close, Jun-2025 to Jun-2026 — events marked in hidden data sheet col C (split-adjusted for the 22-Sep-2025 1:5 split, for a continuous price line)</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'12b_Announcement_Chart_Data'!$A$2:$A$46</f>
            </numRef>
          </cat>
          <val>
            <numRef>
              <f>'12b_Announcement_Chart_Data'!$B$2:$B$46</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disclosed for this year (BRSR not yet mandatory / no comparative given) — not estimated.</t>
      </text>
    </comment>
    <comment ref="B13" authorId="0" shapeId="0">
      <text>
        <t>Not disclosed for this year (BRSR not yet mandatory / no comparative given) — not estimated.</t>
      </text>
    </comment>
    <comment ref="B17" authorId="0" shapeId="0">
      <text>
        <t>Not disclosed for this year (BRSR not yet mandatory / no comparative given) — not estimated.</t>
      </text>
    </comment>
    <comment ref="C17" authorId="0" shapeId="0">
      <text>
        <t>Not disclosed for this year (BRSR not yet mandatory / no comparative given) — not estimated.</t>
      </text>
    </comment>
  </commentList>
</comments>
</file>

<file path=xl/comments/comment3.xml><?xml version="1.0" encoding="utf-8"?>
<comments xmlns="http://schemas.openxmlformats.org/spreadsheetml/2006/main">
  <authors>
    <author>Research Agent</author>
  </authors>
  <commentList>
    <comment ref="B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37"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7"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37"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 ref="B38"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38"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3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8"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38"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 ref="B39"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39" authorId="0" shapeId="0">
      <text>
        <t>VERIFIED — exact quote: 'Closing market price of equity shares on March 31, 2023 was ₹509.50 on BSE and ₹510.40 on NSE' (Torrent Power Integrated AR 2022-23, same section).</t>
      </text>
    </comment>
    <comment ref="D39" authorId="0" shapeId="0">
      <text>
        <t>VERIFIED — exact quote: 'Closing market price of equity shares on March 31, 2024 was ₹1,354.75 on BSE and ₹1,357.95 on NSE' (Torrent Power Integrated AR 2023-24, same section).</t>
      </text>
    </comment>
    <comment ref="E39"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39"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106</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79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Raw Data (Consolidated) — single source-of-truth extract feeding Sheets 2-4 (Sales=Revenue from Ops, BRSR employees)</t>
        </is>
      </c>
    </row>
    <row r="13">
      <c r="B13" t="inlineStr">
        <is>
          <t>1. Business Overview &amp; Market</t>
        </is>
      </c>
    </row>
    <row r="14">
      <c r="B14" t="inlineStr">
        <is>
          <t>2. Sales / Asset / Profit / Market-Price Growth (5-yr) — Comparison &amp; Chart</t>
        </is>
      </c>
    </row>
    <row r="15">
      <c r="B15" t="inlineStr">
        <is>
          <t>3. Sales per Rupee of Asset &amp; Sales per Employee</t>
        </is>
      </c>
    </row>
    <row r="16">
      <c r="B16" t="inlineStr">
        <is>
          <t>4. Business Acquisitions &amp; Post-Acquisition Impact</t>
        </is>
      </c>
    </row>
    <row r="17">
      <c r="B17" t="inlineStr">
        <is>
          <t>5. Shareholding Pattern (Promoters, FII, DII/MF, Pledge, Free Float)</t>
        </is>
      </c>
    </row>
    <row r="18">
      <c r="B18" t="inlineStr">
        <is>
          <t>6. Reportable Business Segments — 5-yr Trend &amp; Comparison</t>
        </is>
      </c>
    </row>
    <row r="19">
      <c r="B19" t="inlineStr">
        <is>
          <t>7. Group Structure — Subsidiaries</t>
        </is>
      </c>
    </row>
    <row r="20">
      <c r="B20" t="inlineStr">
        <is>
          <t>8. Associates &amp; Joint Ventures</t>
        </is>
      </c>
    </row>
    <row r="21">
      <c r="B21" t="inlineStr">
        <is>
          <t>9. Other Investments (ex subs/associates/JVs) up to FY23</t>
        </is>
      </c>
    </row>
    <row r="22">
      <c r="B22" t="inlineStr">
        <is>
          <t>10. Major Changes in Financing (5-yr)</t>
        </is>
      </c>
    </row>
    <row r="23">
      <c r="B23" t="inlineStr">
        <is>
          <t>11. Share Price Return vs Sectoral &amp; Market Index (weekly, 1-yr) &amp; Volatility</t>
        </is>
      </c>
    </row>
    <row r="24">
      <c r="B24" t="inlineStr">
        <is>
          <t>12. Major Announcements (last 1 year) &amp; Price Reaction — Chart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0"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60" customWidth="1" min="8" max="8"/>
  </cols>
  <sheetData>
    <row r="1" ht="24" customHeight="1">
      <c r="A1" s="7" t="inlineStr">
        <is>
          <t>Raw Data (Consolidated) — Source Extract</t>
        </is>
      </c>
    </row>
    <row r="2">
      <c r="A2" s="8" t="inlineStr">
        <is>
          <t>All figures in ₹ Crore, Consolidated. Source: each company's own Annual Report, Consolidated Balance Sheet / P&amp;L, cross-checked twice (current-year figure vs. following year's prior-year comparative). FY21 is shown only as the base year needed to compute FY22 YoY growth in Sheet 2.</t>
        </is>
      </c>
    </row>
    <row r="3" ht="6" customHeight="1"/>
    <row r="5">
      <c r="A5" s="10" t="inlineStr">
        <is>
          <t>Particulars</t>
        </is>
      </c>
      <c r="B5" s="10" t="inlineStr">
        <is>
          <t>FY21</t>
        </is>
      </c>
      <c r="C5" s="10" t="inlineStr">
        <is>
          <t>FY22</t>
        </is>
      </c>
      <c r="D5" s="10" t="inlineStr">
        <is>
          <t>FY23</t>
        </is>
      </c>
      <c r="E5" s="10" t="inlineStr">
        <is>
          <t>FY24</t>
        </is>
      </c>
      <c r="F5" s="10" t="inlineStr">
        <is>
          <t>FY25</t>
        </is>
      </c>
      <c r="G5" s="10" t="inlineStr">
        <is>
          <t>FY26</t>
        </is>
      </c>
      <c r="H5" s="10" t="inlineStr">
        <is>
          <t>Source</t>
        </is>
      </c>
    </row>
    <row r="6">
      <c r="A6" s="2" t="inlineStr">
        <is>
          <t>Adani Power — Revenue from Operations</t>
        </is>
      </c>
      <c r="B6" s="15" t="n">
        <v>26221.48</v>
      </c>
      <c r="C6" s="15" t="n">
        <v>27711.18</v>
      </c>
      <c r="D6" s="15" t="n">
        <v>38773.3</v>
      </c>
      <c r="E6" s="15" t="n">
        <v>50351.25</v>
      </c>
      <c r="F6" s="15" t="n">
        <v>56203.09</v>
      </c>
      <c r="G6" s="15" t="n">
        <v>54240.52</v>
      </c>
      <c r="H6" s="16" t="inlineStr">
        <is>
          <t>Adani Power Consolidated P&amp;L, AR FY21-22/22-23/23-24/24-25/25-26 (each year cross-checked vs following year's comparative)</t>
        </is>
      </c>
    </row>
    <row r="7">
      <c r="A7" s="2" t="inlineStr">
        <is>
          <t>Adani Power — Total Assets</t>
        </is>
      </c>
      <c r="B7" s="15" t="n">
        <v>78805.91</v>
      </c>
      <c r="C7" s="15" t="n">
        <v>81981.02</v>
      </c>
      <c r="D7" s="15" t="n">
        <v>85821.27</v>
      </c>
      <c r="E7" s="15" t="n">
        <v>92324.77</v>
      </c>
      <c r="F7" s="15" t="n">
        <v>112917.57</v>
      </c>
      <c r="G7" s="15" t="n">
        <v>142279.92</v>
      </c>
      <c r="H7" s="16" t="inlineStr">
        <is>
          <t>Adani Power Consolidated Balance Sheet, same 5 ARs</t>
        </is>
      </c>
    </row>
    <row r="8">
      <c r="A8" s="2" t="inlineStr">
        <is>
          <t>Adani Power — Profit for the year (PAT)</t>
        </is>
      </c>
      <c r="B8" s="15" t="n">
        <v>1269.98</v>
      </c>
      <c r="C8" s="15" t="n">
        <v>4911.58</v>
      </c>
      <c r="D8" s="15" t="n">
        <v>10726.64</v>
      </c>
      <c r="E8" s="15" t="n">
        <v>20828.79</v>
      </c>
      <c r="F8" s="15" t="n">
        <v>12749.61</v>
      </c>
      <c r="G8" s="15" t="n">
        <v>12971.08</v>
      </c>
      <c r="H8" s="16" t="inlineStr">
        <is>
          <t>Adani Power Consolidated P&amp;L, same 5 ARs</t>
        </is>
      </c>
    </row>
    <row r="9">
      <c r="A9" s="2" t="inlineStr">
        <is>
          <t>Adani Power — Total Employees (BRSR, D+E)</t>
        </is>
      </c>
      <c r="B9" s="17" t="inlineStr">
        <is>
          <t>N/A</t>
        </is>
      </c>
      <c r="C9" s="15" t="n">
        <v>2746</v>
      </c>
      <c r="D9" s="15" t="n">
        <v>3313</v>
      </c>
      <c r="E9" s="15" t="n">
        <v>3315</v>
      </c>
      <c r="F9" s="15" t="n">
        <v>4210</v>
      </c>
      <c r="G9" s="15" t="n">
        <v>5780</v>
      </c>
      <c r="H9" s="16" t="inlineStr">
        <is>
          <t>Adani Power BRSR 'Employees' table, AR FY21-22 (no BRSR that year) through FY25-26</t>
        </is>
      </c>
    </row>
    <row r="10">
      <c r="A10" s="2" t="inlineStr">
        <is>
          <t>Tata Power — Revenue from Operations</t>
        </is>
      </c>
      <c r="B10" s="15" t="n">
        <v>32703.31</v>
      </c>
      <c r="C10" s="15" t="n">
        <v>42815.67</v>
      </c>
      <c r="D10" s="15" t="n">
        <v>55109.08</v>
      </c>
      <c r="E10" s="15" t="n">
        <v>61448.9</v>
      </c>
      <c r="F10" s="15" t="n">
        <v>65478.24</v>
      </c>
      <c r="G10" s="15" t="n">
        <v>62428.59</v>
      </c>
      <c r="H10" s="16" t="inlineStr">
        <is>
          <t>Tata Power Consolidated P&amp;L, AR FY21-22/22-23/23-24/24-25/25-26</t>
        </is>
      </c>
    </row>
    <row r="11">
      <c r="A11" s="2" t="inlineStr">
        <is>
          <t>Tata Power — Total Assets</t>
        </is>
      </c>
      <c r="B11" s="15" t="n">
        <v>98838.86</v>
      </c>
      <c r="C11" s="15" t="n">
        <v>112884.59</v>
      </c>
      <c r="D11" s="15" t="n">
        <v>128349.04</v>
      </c>
      <c r="E11" s="15" t="n">
        <v>139553.49</v>
      </c>
      <c r="F11" s="15" t="n">
        <v>156711.29</v>
      </c>
      <c r="G11" s="15" t="n">
        <v>175171.78</v>
      </c>
      <c r="H11" s="16" t="inlineStr">
        <is>
          <t>Tata Power Consolidated Balance Sheet, same 5 ARs</t>
        </is>
      </c>
    </row>
    <row r="12">
      <c r="A12" s="2" t="inlineStr">
        <is>
          <t>Tata Power — Profit for the year (PAT)</t>
        </is>
      </c>
      <c r="B12" s="15" t="n">
        <v>1438.65</v>
      </c>
      <c r="C12" s="15" t="n">
        <v>2155.61</v>
      </c>
      <c r="D12" s="15" t="n">
        <v>3809.67</v>
      </c>
      <c r="E12" s="15" t="n">
        <v>4280.1</v>
      </c>
      <c r="F12" s="15" t="n">
        <v>4775.37</v>
      </c>
      <c r="G12" s="15" t="n">
        <v>5117.56</v>
      </c>
      <c r="H12" s="16" t="inlineStr">
        <is>
          <t>Tata Power Consolidated P&amp;L, same 5 ARs</t>
        </is>
      </c>
    </row>
    <row r="13">
      <c r="A13" s="2" t="inlineStr">
        <is>
          <t>Tata Power — Total Employees (BRSR, D+E)</t>
        </is>
      </c>
      <c r="B13" s="17" t="inlineStr">
        <is>
          <t>N/A</t>
        </is>
      </c>
      <c r="C13" s="15" t="n">
        <v>21636</v>
      </c>
      <c r="D13" s="15" t="n">
        <v>23025</v>
      </c>
      <c r="E13" s="15" t="n">
        <v>23652</v>
      </c>
      <c r="F13" s="15" t="n">
        <v>23668</v>
      </c>
      <c r="G13" s="15" t="n">
        <v>23345</v>
      </c>
      <c r="H13" s="16" t="inlineStr">
        <is>
          <t>Tata Power BRSR 'Employees' table, AR FY21-22 (no BRSR that year) through FY25-26</t>
        </is>
      </c>
    </row>
    <row r="14">
      <c r="A14" s="2" t="inlineStr">
        <is>
          <t>Torrent Power — Revenue from Operations</t>
        </is>
      </c>
      <c r="B14" s="15" t="n">
        <v>12172.66</v>
      </c>
      <c r="C14" s="15" t="n">
        <v>14257.61</v>
      </c>
      <c r="D14" s="15" t="n">
        <v>25694.12</v>
      </c>
      <c r="E14" s="15" t="n">
        <v>27183.21</v>
      </c>
      <c r="F14" s="15" t="n">
        <v>29165.26</v>
      </c>
      <c r="G14" s="15" t="n">
        <v>28966.31</v>
      </c>
      <c r="H14" s="16" t="inlineStr">
        <is>
          <t>Torrent Power Consolidated P&amp;L, AR FY21-22/22-23/23-24/24-25/25-26</t>
        </is>
      </c>
    </row>
    <row r="15">
      <c r="A15" s="2" t="inlineStr">
        <is>
          <t>Torrent Power — Total Assets</t>
        </is>
      </c>
      <c r="B15" s="15" t="n">
        <v>23538.72</v>
      </c>
      <c r="C15" s="15" t="n">
        <v>25022.7</v>
      </c>
      <c r="D15" s="15" t="n">
        <v>29910.18</v>
      </c>
      <c r="E15" s="15" t="n">
        <v>33392.48</v>
      </c>
      <c r="F15" s="15" t="n">
        <v>36573.38</v>
      </c>
      <c r="G15" s="15" t="n">
        <v>45193.28</v>
      </c>
      <c r="H15" s="16" t="inlineStr">
        <is>
          <t>Torrent Power Consolidated Balance Sheet, same 5 ARs</t>
        </is>
      </c>
    </row>
    <row r="16">
      <c r="A16" s="2" t="inlineStr">
        <is>
          <t>Torrent Power — Profit for the year (PAT)</t>
        </is>
      </c>
      <c r="B16" s="15" t="n">
        <v>1295.87</v>
      </c>
      <c r="C16" s="15" t="n">
        <v>458.7</v>
      </c>
      <c r="D16" s="15" t="n">
        <v>2164.67</v>
      </c>
      <c r="E16" s="15" t="n">
        <v>1896</v>
      </c>
      <c r="F16" s="15" t="n">
        <v>3058.61</v>
      </c>
      <c r="G16" s="15" t="n">
        <v>2469.36</v>
      </c>
      <c r="H16" s="16" t="inlineStr">
        <is>
          <t>Torrent Power Consolidated P&amp;L, same 5 ARs</t>
        </is>
      </c>
    </row>
    <row r="17">
      <c r="A17" s="2" t="inlineStr">
        <is>
          <t>Torrent Power — Total Employees (BRSR, D+E)</t>
        </is>
      </c>
      <c r="B17" s="17" t="inlineStr">
        <is>
          <t>N/A</t>
        </is>
      </c>
      <c r="C17" s="17" t="inlineStr">
        <is>
          <t>N/A</t>
        </is>
      </c>
      <c r="D17" s="15" t="n">
        <v>8197</v>
      </c>
      <c r="E17" s="15" t="n">
        <v>8206</v>
      </c>
      <c r="F17" s="15" t="n">
        <v>8065</v>
      </c>
      <c r="G17" s="15" t="n">
        <v>8304</v>
      </c>
      <c r="H17" s="16" t="inlineStr">
        <is>
          <t>Torrent Power BRSR 'Employees' table — first disclosed FY22-23 AR (no BRSR in FY21-22 comparative)</t>
        </is>
      </c>
    </row>
    <row r="19">
      <c r="A19" s="13" t="inlineStr">
        <is>
          <t>Basis notes</t>
        </is>
      </c>
    </row>
    <row r="20" ht="90" customHeight="1">
      <c r="A20" s="14" t="inlineStr">
        <is>
          <t>STRICTLY adopts the team's cross-verified raw-data extract. Two basis changes from an earlier draft of this workbook: (1) 'Sales' below is Revenue from Operations, NOT Total Income (which also includes non-operating other income and would overstate organic sales growth) — this is the correct basis for a 'Sales growth' comparison. (2) Employees is the BRSR 'Total Employees (D+E)' figure (permanent + other-than-permanent, standalone reporting entity), not the narrower Rule 5(1) 'permanent employees on rolls' figure used earlier — BRSR is the more complete on-roll headcount and is what the team's source data uses throughout. Total Assets and PAT are unchanged and tie out exactly to the figures independently verified elsewhere in this workbook (FS_Extracts, detail BS/PL sheets) — a strong cross-check that both data-pulls are correct.</t>
        </is>
      </c>
    </row>
    <row r="21"/>
    <row r="22"/>
    <row r="23"/>
  </sheetData>
  <mergeCells count="3">
    <mergeCell ref="A20:H23"/>
    <mergeCell ref="A2:H2"/>
    <mergeCell ref="A1:H1"/>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8" t="inlineStr">
        <is>
          <t>Positioning</t>
        </is>
      </c>
      <c r="B6" s="19" t="inlineStr">
        <is>
          <t>India's largest PRIVATE thermal (base-load) power producer; part of the Adani Group.</t>
        </is>
      </c>
      <c r="C6" s="19" t="inlineStr">
        <is>
          <t>India's largest vertically integrated power company (generation + transmission + distribution).</t>
        </is>
      </c>
      <c r="D6" s="19" t="inlineStr">
        <is>
          <t>Leading integrated power utility; part of Torrent Group (also pharma &amp; city-gas distribution).</t>
        </is>
      </c>
    </row>
    <row r="7" ht="60" customHeight="1">
      <c r="A7" s="18" t="inlineStr">
        <is>
          <t>Core products/services</t>
        </is>
      </c>
      <c r="B7" s="19" t="inlineStr">
        <is>
          <t>Thermal power generation (subcritical to ultra-supercritical); sold via long-term &amp; short-term PPAs and merchant sales on power exchanges.</t>
        </is>
      </c>
      <c r="C7" s="19" t="inlineStr">
        <is>
          <t>Generation (thermal+hydro), Transmission, Distribution (regulated discoms); shifting toward 100% renewable generation; new-age products (solar rooftop, EV charging).</t>
        </is>
      </c>
      <c r="D7" s="19" t="inlineStr">
        <is>
          <t>Generation (gas, coal, solar, wind), Transmission (~1,340 ckm HV lines), Distribution (licensed + franchise).</t>
        </is>
      </c>
    </row>
    <row r="8" ht="60" customHeight="1">
      <c r="A8" s="18" t="inlineStr">
        <is>
          <t>Market / geographic footprint</t>
        </is>
      </c>
      <c r="B8" s="19" t="inlineStr">
        <is>
          <t>12 plants across 8 states (Gujarat, Maharashtra, Karnataka, Rajasthan, Chhattisgarh, MP, Jharkhand, Tamil Nadu); ~7.3% of India's coal-based generation capacity; exports power to Bangladesh via Godda plant.</t>
        </is>
      </c>
      <c r="C8" s="19" t="inlineStr">
        <is>
          <t>Pan-India: Mumbai &amp; Delhi discoms, 4 Odisha discoms, Ajmer discom; ~12.6 million distribution customers; renewable assets nationwide; expanding into Bhutan hydro &amp; nuclear.</t>
        </is>
      </c>
      <c r="D8" s="19" t="inlineStr">
        <is>
          <t>Gujarat (Ahmedabad, Surat, Dahej), Dadra &amp; Nagar Haveli/Daman &amp; Diu, franchise areas Agra (UP) &amp; Bhiwandi (Maharashtra); ~4.3 million customers p.a.</t>
        </is>
      </c>
    </row>
    <row r="9" ht="60" customHeight="1">
      <c r="A9" s="18" t="inlineStr">
        <is>
          <t>Installed capacity (approx., 2025-26)</t>
        </is>
      </c>
      <c r="B9" s="19" t="inlineStr">
        <is>
          <t>~18,150 MW (post Vidarbha acquisition, Jul 2025), all thermal.</t>
        </is>
      </c>
      <c r="C9" s="19" t="inlineStr">
        <is>
          <t>~11.6 GW renewable identified/under TPREL alone + thermal (Mundra 4 GW+) + hydro + distribution licenses covering 12.6mn customers.</t>
        </is>
      </c>
      <c r="D9" s="19" t="inlineStr">
        <is>
          <t>~2,730 MW gas + 362 MW coal + ~663 MW solar + ~1,220 MW wind (as of FY23/Jan-24 disclosures); Nabha Power (2x700MW coal) added June 2026.</t>
        </is>
      </c>
    </row>
    <row r="10" ht="60" customHeight="1">
      <c r="A10" s="18" t="inlineStr">
        <is>
          <t>Strategic direction</t>
        </is>
      </c>
      <c r="B10" s="19" t="inlineStr">
        <is>
          <t>Capacity expansion via IBC/CIRP acquisitions (Mahan, Korba, Moxie, Vidarbha, JPVL); new Assam UMPP (3,200 MW, ~₹48,000 cr); entry into nuclear power (Adani Atomic Energy Ltd, Feb 2026); Bhutan hydro JV with Druk Green.</t>
        </is>
      </c>
      <c r="C10" s="19" t="inlineStr">
        <is>
          <t>Targeting ₹1 lakh crore revenue &amp; ₹10,000 cr PAT by 2030; nuclear, battery storage, solar manufacturing (Odisha); pumped hydro storage (Bhivpuri, Shirawta); Bhutan hydro portfolio (5,033 MW identified).</t>
        </is>
      </c>
      <c r="D10" s="19"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ht="24" customHeight="1">
      <c r="A1" s="7" t="inlineStr">
        <is>
          <t>2. Growth Comparison: Sales, Assets, Profit, Market Price (FY22-FY26, last 5 years)</t>
        </is>
      </c>
    </row>
    <row r="2">
      <c r="A2" s="8" t="inlineStr">
        <is>
          <t>₹ crore, Consolidated. Raw rows are LIVE FORMULAS referencing Raw_Data_Consolidated. Sales = Revenue from Operations (STRICTLY the team's raw-data basis, not Total Income). YoY Growth Rate = (Current Year - Prior Year) / Prior Year — FY22's prior year (FY21) lives only in Raw_Data_Consolidated.</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0" t="inlineStr">
        <is>
          <t>Raw data (live formulas referencing Raw_Data_Consolidated — see that sheet for the FY21 base year and full sourcing)</t>
        </is>
      </c>
    </row>
    <row r="8">
      <c r="A8" s="2" t="inlineStr">
        <is>
          <t>Adani Power — Sales (Revenue from Operations, ₹ cr)</t>
        </is>
      </c>
      <c r="B8" s="21">
        <f>'Raw_Data_Consolidated'!C6</f>
        <v/>
      </c>
      <c r="C8" s="21">
        <f>'Raw_Data_Consolidated'!D6</f>
        <v/>
      </c>
      <c r="D8" s="21">
        <f>'Raw_Data_Consolidated'!E6</f>
        <v/>
      </c>
      <c r="E8" s="21">
        <f>'Raw_Data_Consolidated'!F6</f>
        <v/>
      </c>
      <c r="F8" s="21">
        <f>'Raw_Data_Consolidated'!G6</f>
        <v/>
      </c>
    </row>
    <row r="9">
      <c r="A9" s="2" t="inlineStr">
        <is>
          <t>Adani Power — Net Profit / PAT (₹ cr)</t>
        </is>
      </c>
      <c r="B9" s="21">
        <f>'Raw_Data_Consolidated'!C8</f>
        <v/>
      </c>
      <c r="C9" s="21">
        <f>'Raw_Data_Consolidated'!D8</f>
        <v/>
      </c>
      <c r="D9" s="21">
        <f>'Raw_Data_Consolidated'!E8</f>
        <v/>
      </c>
      <c r="E9" s="21">
        <f>'Raw_Data_Consolidated'!F8</f>
        <v/>
      </c>
      <c r="F9" s="21">
        <f>'Raw_Data_Consolidated'!G8</f>
        <v/>
      </c>
    </row>
    <row r="10">
      <c r="A10" s="2" t="inlineStr">
        <is>
          <t>Adani Power — Total Assets (₹ cr)</t>
        </is>
      </c>
      <c r="B10" s="21">
        <f>'Raw_Data_Consolidated'!C7</f>
        <v/>
      </c>
      <c r="C10" s="21">
        <f>'Raw_Data_Consolidated'!D7</f>
        <v/>
      </c>
      <c r="D10" s="21">
        <f>'Raw_Data_Consolidated'!E7</f>
        <v/>
      </c>
      <c r="E10" s="21">
        <f>'Raw_Data_Consolidated'!F7</f>
        <v/>
      </c>
      <c r="F10" s="21">
        <f>'Raw_Data_Consolidated'!G7</f>
        <v/>
      </c>
    </row>
    <row r="11">
      <c r="A11" s="2" t="inlineStr">
        <is>
          <t>Adani Power — Employees, BRSR D+E (#)</t>
        </is>
      </c>
      <c r="B11" s="22">
        <f>'Raw_Data_Consolidated'!C9</f>
        <v/>
      </c>
      <c r="C11" s="22">
        <f>'Raw_Data_Consolidated'!D9</f>
        <v/>
      </c>
      <c r="D11" s="22">
        <f>'Raw_Data_Consolidated'!E9</f>
        <v/>
      </c>
      <c r="E11" s="22">
        <f>'Raw_Data_Consolidated'!F9</f>
        <v/>
      </c>
      <c r="F11" s="22">
        <f>'Raw_Data_Consolidated'!G9</f>
        <v/>
      </c>
    </row>
    <row r="12">
      <c r="A12" s="2" t="inlineStr">
        <is>
          <t>Tata Power — Sales (Revenue from Operations, ₹ cr)</t>
        </is>
      </c>
      <c r="B12" s="21">
        <f>'Raw_Data_Consolidated'!C10</f>
        <v/>
      </c>
      <c r="C12" s="21">
        <f>'Raw_Data_Consolidated'!D10</f>
        <v/>
      </c>
      <c r="D12" s="21">
        <f>'Raw_Data_Consolidated'!E10</f>
        <v/>
      </c>
      <c r="E12" s="21">
        <f>'Raw_Data_Consolidated'!F10</f>
        <v/>
      </c>
      <c r="F12" s="21">
        <f>'Raw_Data_Consolidated'!G10</f>
        <v/>
      </c>
    </row>
    <row r="13">
      <c r="A13" s="2" t="inlineStr">
        <is>
          <t>Tata Power — Net Profit / PAT (₹ cr)</t>
        </is>
      </c>
      <c r="B13" s="21">
        <f>'Raw_Data_Consolidated'!C12</f>
        <v/>
      </c>
      <c r="C13" s="21">
        <f>'Raw_Data_Consolidated'!D12</f>
        <v/>
      </c>
      <c r="D13" s="21">
        <f>'Raw_Data_Consolidated'!E12</f>
        <v/>
      </c>
      <c r="E13" s="21">
        <f>'Raw_Data_Consolidated'!F12</f>
        <v/>
      </c>
      <c r="F13" s="21">
        <f>'Raw_Data_Consolidated'!G12</f>
        <v/>
      </c>
    </row>
    <row r="14">
      <c r="A14" s="2" t="inlineStr">
        <is>
          <t>Tata Power — Total Assets (₹ cr)</t>
        </is>
      </c>
      <c r="B14" s="21">
        <f>'Raw_Data_Consolidated'!C11</f>
        <v/>
      </c>
      <c r="C14" s="21">
        <f>'Raw_Data_Consolidated'!D11</f>
        <v/>
      </c>
      <c r="D14" s="21">
        <f>'Raw_Data_Consolidated'!E11</f>
        <v/>
      </c>
      <c r="E14" s="21">
        <f>'Raw_Data_Consolidated'!F11</f>
        <v/>
      </c>
      <c r="F14" s="21">
        <f>'Raw_Data_Consolidated'!G11</f>
        <v/>
      </c>
    </row>
    <row r="15">
      <c r="A15" s="2" t="inlineStr">
        <is>
          <t>Tata Power — Employees, BRSR D+E (#)</t>
        </is>
      </c>
      <c r="B15" s="22">
        <f>'Raw_Data_Consolidated'!C13</f>
        <v/>
      </c>
      <c r="C15" s="22">
        <f>'Raw_Data_Consolidated'!D13</f>
        <v/>
      </c>
      <c r="D15" s="22">
        <f>'Raw_Data_Consolidated'!E13</f>
        <v/>
      </c>
      <c r="E15" s="22">
        <f>'Raw_Data_Consolidated'!F13</f>
        <v/>
      </c>
      <c r="F15" s="22">
        <f>'Raw_Data_Consolidated'!G13</f>
        <v/>
      </c>
    </row>
    <row r="16">
      <c r="A16" s="2" t="inlineStr">
        <is>
          <t>Torrent Power — Sales (Revenue from Operations, ₹ cr)</t>
        </is>
      </c>
      <c r="B16" s="21">
        <f>'Raw_Data_Consolidated'!C14</f>
        <v/>
      </c>
      <c r="C16" s="21">
        <f>'Raw_Data_Consolidated'!D14</f>
        <v/>
      </c>
      <c r="D16" s="21">
        <f>'Raw_Data_Consolidated'!E14</f>
        <v/>
      </c>
      <c r="E16" s="21">
        <f>'Raw_Data_Consolidated'!F14</f>
        <v/>
      </c>
      <c r="F16" s="21">
        <f>'Raw_Data_Consolidated'!G14</f>
        <v/>
      </c>
    </row>
    <row r="17">
      <c r="A17" s="2" t="inlineStr">
        <is>
          <t>Torrent Power — Net Profit / PAT (₹ cr)</t>
        </is>
      </c>
      <c r="B17" s="21">
        <f>'Raw_Data_Consolidated'!C16</f>
        <v/>
      </c>
      <c r="C17" s="21">
        <f>'Raw_Data_Consolidated'!D16</f>
        <v/>
      </c>
      <c r="D17" s="21">
        <f>'Raw_Data_Consolidated'!E16</f>
        <v/>
      </c>
      <c r="E17" s="21">
        <f>'Raw_Data_Consolidated'!F16</f>
        <v/>
      </c>
      <c r="F17" s="21">
        <f>'Raw_Data_Consolidated'!G16</f>
        <v/>
      </c>
    </row>
    <row r="18">
      <c r="A18" s="2" t="inlineStr">
        <is>
          <t>Torrent Power — Total Assets (₹ cr)</t>
        </is>
      </c>
      <c r="B18" s="21">
        <f>'Raw_Data_Consolidated'!C15</f>
        <v/>
      </c>
      <c r="C18" s="21">
        <f>'Raw_Data_Consolidated'!D15</f>
        <v/>
      </c>
      <c r="D18" s="21">
        <f>'Raw_Data_Consolidated'!E15</f>
        <v/>
      </c>
      <c r="E18" s="21">
        <f>'Raw_Data_Consolidated'!F15</f>
        <v/>
      </c>
      <c r="F18" s="21">
        <f>'Raw_Data_Consolidated'!G15</f>
        <v/>
      </c>
    </row>
    <row r="19">
      <c r="A19" s="2" t="inlineStr">
        <is>
          <t>Torrent Power — Employees, BRSR D+E (#)</t>
        </is>
      </c>
      <c r="B19" s="22">
        <f>'Raw_Data_Consolidated'!C17</f>
        <v/>
      </c>
      <c r="C19" s="22">
        <f>'Raw_Data_Consolidated'!D17</f>
        <v/>
      </c>
      <c r="D19" s="22">
        <f>'Raw_Data_Consolidated'!E17</f>
        <v/>
      </c>
      <c r="E19" s="22">
        <f>'Raw_Data_Consolidated'!F17</f>
        <v/>
      </c>
      <c r="F19" s="22">
        <f>'Raw_Data_Consolidated'!G17</f>
        <v/>
      </c>
    </row>
    <row r="21">
      <c r="A21" s="20" t="inlineStr">
        <is>
          <t>YoY Growth Rate (%) — Sales (Revenue from Operations)</t>
        </is>
      </c>
    </row>
    <row r="22">
      <c r="A22" s="2" t="inlineStr">
        <is>
          <t>Adani Power</t>
        </is>
      </c>
      <c r="B22" s="23">
        <f>IFERROR(IF(OR(ISTEXT('Raw_Data_Consolidated'!C6),ISTEXT('Raw_Data_Consolidated'!B6)),"N/A",('Raw_Data_Consolidated'!C6-'Raw_Data_Consolidated'!B6)/'Raw_Data_Consolidated'!B6),"N/A")</f>
        <v/>
      </c>
      <c r="C22" s="23">
        <f>IFERROR(IF(OR(ISTEXT('Raw_Data_Consolidated'!D6),ISTEXT('Raw_Data_Consolidated'!C6)),"N/A",('Raw_Data_Consolidated'!D6-'Raw_Data_Consolidated'!C6)/'Raw_Data_Consolidated'!C6),"N/A")</f>
        <v/>
      </c>
      <c r="D22" s="23">
        <f>IFERROR(IF(OR(ISTEXT('Raw_Data_Consolidated'!E6),ISTEXT('Raw_Data_Consolidated'!D6)),"N/A",('Raw_Data_Consolidated'!E6-'Raw_Data_Consolidated'!D6)/'Raw_Data_Consolidated'!D6),"N/A")</f>
        <v/>
      </c>
      <c r="E22" s="23">
        <f>IFERROR(IF(OR(ISTEXT('Raw_Data_Consolidated'!F6),ISTEXT('Raw_Data_Consolidated'!E6)),"N/A",('Raw_Data_Consolidated'!F6-'Raw_Data_Consolidated'!E6)/'Raw_Data_Consolidated'!E6),"N/A")</f>
        <v/>
      </c>
      <c r="F22" s="23">
        <f>IFERROR(IF(OR(ISTEXT('Raw_Data_Consolidated'!G6),ISTEXT('Raw_Data_Consolidated'!F6)),"N/A",('Raw_Data_Consolidated'!G6-'Raw_Data_Consolidated'!F6)/'Raw_Data_Consolidated'!F6),"N/A")</f>
        <v/>
      </c>
    </row>
    <row r="23">
      <c r="A23" s="2" t="inlineStr">
        <is>
          <t>Tata Power</t>
        </is>
      </c>
      <c r="B23" s="23">
        <f>IFERROR(IF(OR(ISTEXT('Raw_Data_Consolidated'!C10),ISTEXT('Raw_Data_Consolidated'!B10)),"N/A",('Raw_Data_Consolidated'!C10-'Raw_Data_Consolidated'!B10)/'Raw_Data_Consolidated'!B10),"N/A")</f>
        <v/>
      </c>
      <c r="C23" s="23">
        <f>IFERROR(IF(OR(ISTEXT('Raw_Data_Consolidated'!D10),ISTEXT('Raw_Data_Consolidated'!C10)),"N/A",('Raw_Data_Consolidated'!D10-'Raw_Data_Consolidated'!C10)/'Raw_Data_Consolidated'!C10),"N/A")</f>
        <v/>
      </c>
      <c r="D23" s="23">
        <f>IFERROR(IF(OR(ISTEXT('Raw_Data_Consolidated'!E10),ISTEXT('Raw_Data_Consolidated'!D10)),"N/A",('Raw_Data_Consolidated'!E10-'Raw_Data_Consolidated'!D10)/'Raw_Data_Consolidated'!D10),"N/A")</f>
        <v/>
      </c>
      <c r="E23" s="23">
        <f>IFERROR(IF(OR(ISTEXT('Raw_Data_Consolidated'!F10),ISTEXT('Raw_Data_Consolidated'!E10)),"N/A",('Raw_Data_Consolidated'!F10-'Raw_Data_Consolidated'!E10)/'Raw_Data_Consolidated'!E10),"N/A")</f>
        <v/>
      </c>
      <c r="F23" s="23">
        <f>IFERROR(IF(OR(ISTEXT('Raw_Data_Consolidated'!G10),ISTEXT('Raw_Data_Consolidated'!F10)),"N/A",('Raw_Data_Consolidated'!G10-'Raw_Data_Consolidated'!F10)/'Raw_Data_Consolidated'!F10),"N/A")</f>
        <v/>
      </c>
    </row>
    <row r="24">
      <c r="A24" s="2" t="inlineStr">
        <is>
          <t>Torrent Power</t>
        </is>
      </c>
      <c r="B24" s="23">
        <f>IFERROR(IF(OR(ISTEXT('Raw_Data_Consolidated'!C14),ISTEXT('Raw_Data_Consolidated'!B14)),"N/A",('Raw_Data_Consolidated'!C14-'Raw_Data_Consolidated'!B14)/'Raw_Data_Consolidated'!B14),"N/A")</f>
        <v/>
      </c>
      <c r="C24" s="23">
        <f>IFERROR(IF(OR(ISTEXT('Raw_Data_Consolidated'!D14),ISTEXT('Raw_Data_Consolidated'!C14)),"N/A",('Raw_Data_Consolidated'!D14-'Raw_Data_Consolidated'!C14)/'Raw_Data_Consolidated'!C14),"N/A")</f>
        <v/>
      </c>
      <c r="D24" s="23">
        <f>IFERROR(IF(OR(ISTEXT('Raw_Data_Consolidated'!E14),ISTEXT('Raw_Data_Consolidated'!D14)),"N/A",('Raw_Data_Consolidated'!E14-'Raw_Data_Consolidated'!D14)/'Raw_Data_Consolidated'!D14),"N/A")</f>
        <v/>
      </c>
      <c r="E24" s="23">
        <f>IFERROR(IF(OR(ISTEXT('Raw_Data_Consolidated'!F14),ISTEXT('Raw_Data_Consolidated'!E14)),"N/A",('Raw_Data_Consolidated'!F14-'Raw_Data_Consolidated'!E14)/'Raw_Data_Consolidated'!E14),"N/A")</f>
        <v/>
      </c>
      <c r="F24" s="23">
        <f>IFERROR(IF(OR(ISTEXT('Raw_Data_Consolidated'!G14),ISTEXT('Raw_Data_Consolidated'!F14)),"N/A",('Raw_Data_Consolidated'!G14-'Raw_Data_Consolidated'!F14)/'Raw_Data_Consolidated'!F14),"N/A")</f>
        <v/>
      </c>
    </row>
    <row r="26">
      <c r="A26" s="20" t="inlineStr">
        <is>
          <t>YoY Growth Rate (%) — Total Assets</t>
        </is>
      </c>
    </row>
    <row r="27">
      <c r="A27" s="2" t="inlineStr">
        <is>
          <t>Adani Power</t>
        </is>
      </c>
      <c r="B27" s="23">
        <f>IFERROR(IF(OR(ISTEXT('Raw_Data_Consolidated'!C7),ISTEXT('Raw_Data_Consolidated'!B7)),"N/A",('Raw_Data_Consolidated'!C7-'Raw_Data_Consolidated'!B7)/'Raw_Data_Consolidated'!B7),"N/A")</f>
        <v/>
      </c>
      <c r="C27" s="23">
        <f>IFERROR(IF(OR(ISTEXT('Raw_Data_Consolidated'!D7),ISTEXT('Raw_Data_Consolidated'!C7)),"N/A",('Raw_Data_Consolidated'!D7-'Raw_Data_Consolidated'!C7)/'Raw_Data_Consolidated'!C7),"N/A")</f>
        <v/>
      </c>
      <c r="D27" s="23">
        <f>IFERROR(IF(OR(ISTEXT('Raw_Data_Consolidated'!E7),ISTEXT('Raw_Data_Consolidated'!D7)),"N/A",('Raw_Data_Consolidated'!E7-'Raw_Data_Consolidated'!D7)/'Raw_Data_Consolidated'!D7),"N/A")</f>
        <v/>
      </c>
      <c r="E27" s="23">
        <f>IFERROR(IF(OR(ISTEXT('Raw_Data_Consolidated'!F7),ISTEXT('Raw_Data_Consolidated'!E7)),"N/A",('Raw_Data_Consolidated'!F7-'Raw_Data_Consolidated'!E7)/'Raw_Data_Consolidated'!E7),"N/A")</f>
        <v/>
      </c>
      <c r="F27" s="23">
        <f>IFERROR(IF(OR(ISTEXT('Raw_Data_Consolidated'!G7),ISTEXT('Raw_Data_Consolidated'!F7)),"N/A",('Raw_Data_Consolidated'!G7-'Raw_Data_Consolidated'!F7)/'Raw_Data_Consolidated'!F7),"N/A")</f>
        <v/>
      </c>
    </row>
    <row r="28">
      <c r="A28" s="2" t="inlineStr">
        <is>
          <t>Tata Power</t>
        </is>
      </c>
      <c r="B28" s="23">
        <f>IFERROR(IF(OR(ISTEXT('Raw_Data_Consolidated'!C11),ISTEXT('Raw_Data_Consolidated'!B11)),"N/A",('Raw_Data_Consolidated'!C11-'Raw_Data_Consolidated'!B11)/'Raw_Data_Consolidated'!B11),"N/A")</f>
        <v/>
      </c>
      <c r="C28" s="23">
        <f>IFERROR(IF(OR(ISTEXT('Raw_Data_Consolidated'!D11),ISTEXT('Raw_Data_Consolidated'!C11)),"N/A",('Raw_Data_Consolidated'!D11-'Raw_Data_Consolidated'!C11)/'Raw_Data_Consolidated'!C11),"N/A")</f>
        <v/>
      </c>
      <c r="D28" s="23">
        <f>IFERROR(IF(OR(ISTEXT('Raw_Data_Consolidated'!E11),ISTEXT('Raw_Data_Consolidated'!D11)),"N/A",('Raw_Data_Consolidated'!E11-'Raw_Data_Consolidated'!D11)/'Raw_Data_Consolidated'!D11),"N/A")</f>
        <v/>
      </c>
      <c r="E28" s="23">
        <f>IFERROR(IF(OR(ISTEXT('Raw_Data_Consolidated'!F11),ISTEXT('Raw_Data_Consolidated'!E11)),"N/A",('Raw_Data_Consolidated'!F11-'Raw_Data_Consolidated'!E11)/'Raw_Data_Consolidated'!E11),"N/A")</f>
        <v/>
      </c>
      <c r="F28" s="23">
        <f>IFERROR(IF(OR(ISTEXT('Raw_Data_Consolidated'!G11),ISTEXT('Raw_Data_Consolidated'!F11)),"N/A",('Raw_Data_Consolidated'!G11-'Raw_Data_Consolidated'!F11)/'Raw_Data_Consolidated'!F11),"N/A")</f>
        <v/>
      </c>
    </row>
    <row r="29">
      <c r="A29" s="2" t="inlineStr">
        <is>
          <t>Torrent Power</t>
        </is>
      </c>
      <c r="B29" s="23">
        <f>IFERROR(IF(OR(ISTEXT('Raw_Data_Consolidated'!C15),ISTEXT('Raw_Data_Consolidated'!B15)),"N/A",('Raw_Data_Consolidated'!C15-'Raw_Data_Consolidated'!B15)/'Raw_Data_Consolidated'!B15),"N/A")</f>
        <v/>
      </c>
      <c r="C29" s="23">
        <f>IFERROR(IF(OR(ISTEXT('Raw_Data_Consolidated'!D15),ISTEXT('Raw_Data_Consolidated'!C15)),"N/A",('Raw_Data_Consolidated'!D15-'Raw_Data_Consolidated'!C15)/'Raw_Data_Consolidated'!C15),"N/A")</f>
        <v/>
      </c>
      <c r="D29" s="23">
        <f>IFERROR(IF(OR(ISTEXT('Raw_Data_Consolidated'!E15),ISTEXT('Raw_Data_Consolidated'!D15)),"N/A",('Raw_Data_Consolidated'!E15-'Raw_Data_Consolidated'!D15)/'Raw_Data_Consolidated'!D15),"N/A")</f>
        <v/>
      </c>
      <c r="E29" s="23">
        <f>IFERROR(IF(OR(ISTEXT('Raw_Data_Consolidated'!F15),ISTEXT('Raw_Data_Consolidated'!E15)),"N/A",('Raw_Data_Consolidated'!F15-'Raw_Data_Consolidated'!E15)/'Raw_Data_Consolidated'!E15),"N/A")</f>
        <v/>
      </c>
      <c r="F29" s="23">
        <f>IFERROR(IF(OR(ISTEXT('Raw_Data_Consolidated'!G15),ISTEXT('Raw_Data_Consolidated'!F15)),"N/A",('Raw_Data_Consolidated'!G15-'Raw_Data_Consolidated'!F15)/'Raw_Data_Consolidated'!F15),"N/A")</f>
        <v/>
      </c>
    </row>
    <row r="31">
      <c r="A31" s="20" t="inlineStr">
        <is>
          <t>YoY Growth Rate (%) — Profit (PAT)</t>
        </is>
      </c>
    </row>
    <row r="32">
      <c r="A32" s="2" t="inlineStr">
        <is>
          <t>Adani Power</t>
        </is>
      </c>
      <c r="B32" s="23">
        <f>IFERROR(IF(OR(ISTEXT('Raw_Data_Consolidated'!C8),ISTEXT('Raw_Data_Consolidated'!B8)),"N/A",('Raw_Data_Consolidated'!C8-'Raw_Data_Consolidated'!B8)/'Raw_Data_Consolidated'!B8),"N/A")</f>
        <v/>
      </c>
      <c r="C32" s="23">
        <f>IFERROR(IF(OR(ISTEXT('Raw_Data_Consolidated'!D8),ISTEXT('Raw_Data_Consolidated'!C8)),"N/A",('Raw_Data_Consolidated'!D8-'Raw_Data_Consolidated'!C8)/'Raw_Data_Consolidated'!C8),"N/A")</f>
        <v/>
      </c>
      <c r="D32" s="23">
        <f>IFERROR(IF(OR(ISTEXT('Raw_Data_Consolidated'!E8),ISTEXT('Raw_Data_Consolidated'!D8)),"N/A",('Raw_Data_Consolidated'!E8-'Raw_Data_Consolidated'!D8)/'Raw_Data_Consolidated'!D8),"N/A")</f>
        <v/>
      </c>
      <c r="E32" s="23">
        <f>IFERROR(IF(OR(ISTEXT('Raw_Data_Consolidated'!F8),ISTEXT('Raw_Data_Consolidated'!E8)),"N/A",('Raw_Data_Consolidated'!F8-'Raw_Data_Consolidated'!E8)/'Raw_Data_Consolidated'!E8),"N/A")</f>
        <v/>
      </c>
      <c r="F32" s="23">
        <f>IFERROR(IF(OR(ISTEXT('Raw_Data_Consolidated'!G8),ISTEXT('Raw_Data_Consolidated'!F8)),"N/A",('Raw_Data_Consolidated'!G8-'Raw_Data_Consolidated'!F8)/'Raw_Data_Consolidated'!F8),"N/A")</f>
        <v/>
      </c>
    </row>
    <row r="33">
      <c r="A33" s="2" t="inlineStr">
        <is>
          <t>Tata Power</t>
        </is>
      </c>
      <c r="B33" s="23">
        <f>IFERROR(IF(OR(ISTEXT('Raw_Data_Consolidated'!C12),ISTEXT('Raw_Data_Consolidated'!B12)),"N/A",('Raw_Data_Consolidated'!C12-'Raw_Data_Consolidated'!B12)/'Raw_Data_Consolidated'!B12),"N/A")</f>
        <v/>
      </c>
      <c r="C33" s="23">
        <f>IFERROR(IF(OR(ISTEXT('Raw_Data_Consolidated'!D12),ISTEXT('Raw_Data_Consolidated'!C12)),"N/A",('Raw_Data_Consolidated'!D12-'Raw_Data_Consolidated'!C12)/'Raw_Data_Consolidated'!C12),"N/A")</f>
        <v/>
      </c>
      <c r="D33" s="23">
        <f>IFERROR(IF(OR(ISTEXT('Raw_Data_Consolidated'!E12),ISTEXT('Raw_Data_Consolidated'!D12)),"N/A",('Raw_Data_Consolidated'!E12-'Raw_Data_Consolidated'!D12)/'Raw_Data_Consolidated'!D12),"N/A")</f>
        <v/>
      </c>
      <c r="E33" s="23">
        <f>IFERROR(IF(OR(ISTEXT('Raw_Data_Consolidated'!F12),ISTEXT('Raw_Data_Consolidated'!E12)),"N/A",('Raw_Data_Consolidated'!F12-'Raw_Data_Consolidated'!E12)/'Raw_Data_Consolidated'!E12),"N/A")</f>
        <v/>
      </c>
      <c r="F33" s="23">
        <f>IFERROR(IF(OR(ISTEXT('Raw_Data_Consolidated'!G12),ISTEXT('Raw_Data_Consolidated'!F12)),"N/A",('Raw_Data_Consolidated'!G12-'Raw_Data_Consolidated'!F12)/'Raw_Data_Consolidated'!F12),"N/A")</f>
        <v/>
      </c>
    </row>
    <row r="34">
      <c r="A34" s="2" t="inlineStr">
        <is>
          <t>Torrent Power</t>
        </is>
      </c>
      <c r="B34" s="23">
        <f>IFERROR(IF(OR(ISTEXT('Raw_Data_Consolidated'!C16),ISTEXT('Raw_Data_Consolidated'!B16)),"N/A",('Raw_Data_Consolidated'!C16-'Raw_Data_Consolidated'!B16)/'Raw_Data_Consolidated'!B16),"N/A")</f>
        <v/>
      </c>
      <c r="C34" s="23">
        <f>IFERROR(IF(OR(ISTEXT('Raw_Data_Consolidated'!D16),ISTEXT('Raw_Data_Consolidated'!C16)),"N/A",('Raw_Data_Consolidated'!D16-'Raw_Data_Consolidated'!C16)/'Raw_Data_Consolidated'!C16),"N/A")</f>
        <v/>
      </c>
      <c r="D34" s="23">
        <f>IFERROR(IF(OR(ISTEXT('Raw_Data_Consolidated'!E16),ISTEXT('Raw_Data_Consolidated'!D16)),"N/A",('Raw_Data_Consolidated'!E16-'Raw_Data_Consolidated'!D16)/'Raw_Data_Consolidated'!D16),"N/A")</f>
        <v/>
      </c>
      <c r="E34" s="23">
        <f>IFERROR(IF(OR(ISTEXT('Raw_Data_Consolidated'!F16),ISTEXT('Raw_Data_Consolidated'!E16)),"N/A",('Raw_Data_Consolidated'!F16-'Raw_Data_Consolidated'!E16)/'Raw_Data_Consolidated'!E16),"N/A")</f>
        <v/>
      </c>
      <c r="F34" s="23">
        <f>IFERROR(IF(OR(ISTEXT('Raw_Data_Consolidated'!G16),ISTEXT('Raw_Data_Consolidated'!F16)),"N/A",('Raw_Data_Consolidated'!G16-'Raw_Data_Consolidated'!F16)/'Raw_Data_Consolidated'!F16),"N/A")</f>
        <v/>
      </c>
    </row>
    <row r="36">
      <c r="A36" s="24" t="inlineStr">
        <is>
          <t>Market price per share (₹, year-end 31-Mar, as actually quoted)</t>
        </is>
      </c>
    </row>
    <row r="37">
      <c r="A37" t="inlineStr">
        <is>
          <t>Adani Power — Year-end share price</t>
        </is>
      </c>
      <c r="B37" s="3" t="inlineStr">
        <is>
          <t>TO FILL</t>
        </is>
      </c>
      <c r="C37" s="3" t="inlineStr">
        <is>
          <t>TO FILL</t>
        </is>
      </c>
      <c r="D37" s="3" t="inlineStr">
        <is>
          <t>TO FILL</t>
        </is>
      </c>
      <c r="E37" s="21" t="n">
        <v>509.19</v>
      </c>
      <c r="F37" s="21" t="n">
        <v>153.92</v>
      </c>
    </row>
    <row r="38">
      <c r="A38" t="inlineStr">
        <is>
          <t>Tata Power — Year-end share price</t>
        </is>
      </c>
      <c r="B38" s="21" t="n">
        <v>238.79</v>
      </c>
      <c r="C38" s="21" t="n">
        <v>190.1</v>
      </c>
      <c r="D38" s="3" t="inlineStr">
        <is>
          <t>TO FILL</t>
        </is>
      </c>
      <c r="E38" s="21" t="n">
        <v>375.35</v>
      </c>
      <c r="F38" s="21" t="n">
        <v>385.7</v>
      </c>
    </row>
    <row r="39">
      <c r="A39" t="inlineStr">
        <is>
          <t>Torrent Power — Year-end share price</t>
        </is>
      </c>
      <c r="B39" s="21" t="n">
        <v>491.85</v>
      </c>
      <c r="C39" s="21" t="n">
        <v>510.4</v>
      </c>
      <c r="D39" s="21" t="n">
        <v>1357.95</v>
      </c>
      <c r="E39" s="3" t="inlineStr">
        <is>
          <t>TO FILL</t>
        </is>
      </c>
      <c r="F39" s="21" t="n">
        <v>1352.3</v>
      </c>
    </row>
    <row r="41">
      <c r="A41" s="20" t="inlineStr">
        <is>
          <t>Market Price Growth (%) YoY</t>
        </is>
      </c>
    </row>
    <row r="42">
      <c r="A42" s="2" t="inlineStr">
        <is>
          <t>Adani Power</t>
        </is>
      </c>
      <c r="B42" s="23" t="inlineStr">
        <is>
          <t>N/A</t>
        </is>
      </c>
      <c r="C42" s="23">
        <f>IFERROR(IF(OR(ISTEXT(C37),ISTEXT(B37)),"N/A",(C37-B37)/B37),"N/A")</f>
        <v/>
      </c>
      <c r="D42" s="23">
        <f>IFERROR(IF(OR(ISTEXT(D37),ISTEXT(C37)),"N/A",(D37-C37)/C37),"N/A")</f>
        <v/>
      </c>
      <c r="E42" s="23">
        <f>IFERROR(IF(OR(ISTEXT(E37),ISTEXT(D37)),"N/A",(E37-D37)/D37),"N/A")</f>
        <v/>
      </c>
      <c r="F42" s="23">
        <f>IFERROR(IF(OR(ISTEXT(F37),ISTEXT(E37)),"N/A",(F37-E37)/E37),"N/A")</f>
        <v/>
      </c>
    </row>
    <row r="43">
      <c r="A43" s="2" t="inlineStr">
        <is>
          <t>Tata Power</t>
        </is>
      </c>
      <c r="B43" s="23" t="inlineStr">
        <is>
          <t>N/A</t>
        </is>
      </c>
      <c r="C43" s="23">
        <f>IFERROR(IF(OR(ISTEXT(C38),ISTEXT(B38)),"N/A",(C38-B38)/B38),"N/A")</f>
        <v/>
      </c>
      <c r="D43" s="23">
        <f>IFERROR(IF(OR(ISTEXT(D38),ISTEXT(C38)),"N/A",(D38-C38)/C38),"N/A")</f>
        <v/>
      </c>
      <c r="E43" s="23">
        <f>IFERROR(IF(OR(ISTEXT(E38),ISTEXT(D38)),"N/A",(E38-D38)/D38),"N/A")</f>
        <v/>
      </c>
      <c r="F43" s="23">
        <f>IFERROR(IF(OR(ISTEXT(F38),ISTEXT(E38)),"N/A",(F38-E38)/E38),"N/A")</f>
        <v/>
      </c>
    </row>
    <row r="44">
      <c r="A44" s="2" t="inlineStr">
        <is>
          <t>Torrent Power</t>
        </is>
      </c>
      <c r="B44" s="23" t="inlineStr">
        <is>
          <t>N/A</t>
        </is>
      </c>
      <c r="C44" s="23">
        <f>IFERROR(IF(OR(ISTEXT(C39),ISTEXT(B39)),"N/A",(C39-B39)/B39),"N/A")</f>
        <v/>
      </c>
      <c r="D44" s="23">
        <f>IFERROR(IF(OR(ISTEXT(D39),ISTEXT(C39)),"N/A",(D39-C39)/C39),"N/A")</f>
        <v/>
      </c>
      <c r="E44" s="23">
        <f>IFERROR(IF(OR(ISTEXT(E39),ISTEXT(D39)),"N/A",(E39-D39)/D39),"N/A")</f>
        <v/>
      </c>
      <c r="F44" s="23">
        <f>IFERROR(IF(OR(ISTEXT(F39),ISTEXT(E39)),"N/A",(F39-E39)/E39),"N/A")</f>
        <v/>
      </c>
    </row>
    <row r="46">
      <c r="A46" s="9" t="inlineStr">
        <is>
          <t>Comments</t>
        </is>
      </c>
    </row>
    <row r="47" ht="220" customHeight="1">
      <c r="A47" s="14" t="inlineStr">
        <is>
          <t>BASIS NOTE: this sheet now STRICTLY follows the team's raw-data extract — Sales is Revenue from Operations (not Total Income, which overstated growth by including non-operating other income), and Employees is the BRSR 'Total Employees (D+E)' figure (not the narrower Rule 5(1) count used in an earlier draft). SALES GROWTH: Adani Power decelerated from ~40% (FY23) to slightly NEGATIVE in FY26 (-3.5%) — the only company of the three to see revenue decline that year — after ~30% (FY24) growth off newly-consolidated IBC capacity. Tata Power shows the steadiest profile, decelerating from ~29% (FY22, post-COVID recovery + Odisha discom consolidation) to single digits by FY24-FY25 and also slightly negative in FY26 (-4.7%). Torrent Power's biggest single jump was FY23 (+80%, DNH&amp;DD discom takeover + merchant gas sales), easing to high single digits thereafter and roughly flat in FY26. PROFIT (PAT) GROWTH: Adani Power's is the most dramatic — up ~287% in FY22 and ~118% in FY23 off a small FY21 base (₹1,270cr), aided by lower finance costs and a large deferred-tax credit; growth moderates to ~94% (FY24) before PAT actually FALLS ~39% in FY25 (₹20,829cr → ₹12,750cr) even as revenue grew, driven mainly by Other Income collapsing from ₹9,930cr (FY24) to ₹2,703cr (FY25) plus a much larger tax charge. Tata Power grew PAT every single year (12-77% p.a.) — the most consistent of the three. Torrent Power's PAT growth is the most volatile — a 65% FY22 decline (DGEN plant impairment), a 372% FY23 rebound, then smaller swings including another dip in FY26 (-19%). TOTAL ASSETS GROWTH: grew every year for all three (no declines) — Adani Power's base grew fastest in FY25-FY26 (+22%, +26%) as capacity-expansion capex ramped up; Tata Power's growth was the steadiest (9-14% every year); Torrent Power grew fastest in relative terms in FY23 (+20%) and FY26 (+24%, Nabha Power acquisition + capex cycle). MARKET PRICE: year-end (31-Mar) share prices are now mostly sourced directly from each company's own Annual Report (see cell comments for the exact citation); a few cells (Adani FY22-24, Tata FY24) remain genuinely unavailable from the sources in this repo and are flagged with exact NSE/Yahoo manual-lookup instructions.</t>
        </is>
      </c>
    </row>
    <row r="48"/>
    <row r="49"/>
    <row r="50"/>
    <row r="51"/>
    <row r="52"/>
    <row r="53"/>
    <row r="54"/>
    <row r="55"/>
  </sheetData>
  <mergeCells count="3">
    <mergeCell ref="A2:F2"/>
    <mergeCell ref="A1:F1"/>
    <mergeCell ref="A47:F55"/>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27711.18</v>
      </c>
      <c r="C2" t="n">
        <v>42815.67</v>
      </c>
      <c r="D2" t="n">
        <v>14257.61</v>
      </c>
    </row>
    <row r="3">
      <c r="A3" t="inlineStr">
        <is>
          <t>FY23</t>
        </is>
      </c>
      <c r="B3" t="n">
        <v>38773.3</v>
      </c>
      <c r="C3" t="n">
        <v>55109.08</v>
      </c>
      <c r="D3" t="n">
        <v>25694.12</v>
      </c>
    </row>
    <row r="4">
      <c r="A4" t="inlineStr">
        <is>
          <t>FY24</t>
        </is>
      </c>
      <c r="B4" t="n">
        <v>50351.25</v>
      </c>
      <c r="C4" t="n">
        <v>61448.9</v>
      </c>
      <c r="D4" t="n">
        <v>27183.21</v>
      </c>
    </row>
    <row r="5">
      <c r="A5" t="inlineStr">
        <is>
          <t>FY25</t>
        </is>
      </c>
      <c r="B5" t="n">
        <v>56203.09</v>
      </c>
      <c r="C5" t="n">
        <v>65478.24</v>
      </c>
      <c r="D5" t="n">
        <v>29165.26</v>
      </c>
    </row>
    <row r="6">
      <c r="A6" t="inlineStr">
        <is>
          <t>FY26</t>
        </is>
      </c>
      <c r="B6" t="n">
        <v>54240.52</v>
      </c>
      <c r="C6" t="n">
        <v>62428.59</v>
      </c>
      <c r="D6" t="n">
        <v>28966.31</v>
      </c>
    </row>
    <row r="8">
      <c r="A8" t="inlineStr">
        <is>
          <t>Year</t>
        </is>
      </c>
      <c r="B8" t="inlineStr">
        <is>
          <t>Adani Power PAT</t>
        </is>
      </c>
      <c r="C8" t="inlineStr">
        <is>
          <t>Tata Power PAT</t>
        </is>
      </c>
      <c r="D8" t="inlineStr">
        <is>
          <t>Torrent Power PAT</t>
        </is>
      </c>
    </row>
    <row r="9">
      <c r="A9" t="inlineStr">
        <is>
          <t>FY22</t>
        </is>
      </c>
      <c r="B9" t="n">
        <v>4911.58</v>
      </c>
      <c r="C9" t="n">
        <v>2155.61</v>
      </c>
      <c r="D9" t="n">
        <v>458.7</v>
      </c>
    </row>
    <row r="10">
      <c r="A10" t="inlineStr">
        <is>
          <t>FY23</t>
        </is>
      </c>
      <c r="B10" t="n">
        <v>10726.64</v>
      </c>
      <c r="C10" t="n">
        <v>3809.67</v>
      </c>
      <c r="D10" t="n">
        <v>2164.67</v>
      </c>
    </row>
    <row r="11">
      <c r="A11" t="inlineStr">
        <is>
          <t>FY24</t>
        </is>
      </c>
      <c r="B11" t="n">
        <v>20828.79</v>
      </c>
      <c r="C11" t="n">
        <v>4280.1</v>
      </c>
      <c r="D11" t="n">
        <v>1896</v>
      </c>
    </row>
    <row r="12">
      <c r="A12" t="inlineStr">
        <is>
          <t>FY25</t>
        </is>
      </c>
      <c r="B12" t="n">
        <v>12749.61</v>
      </c>
      <c r="C12" t="n">
        <v>4775.37</v>
      </c>
      <c r="D12" t="n">
        <v>3058.61</v>
      </c>
    </row>
    <row r="13">
      <c r="A13" t="inlineStr">
        <is>
          <t>FY26</t>
        </is>
      </c>
      <c r="B13" t="n">
        <v>12971.08</v>
      </c>
      <c r="C13" t="n">
        <v>5117.56</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Efficiency Ratios: Asset Turnover &amp; Sales per Employee (FY22-FY26)</t>
        </is>
      </c>
    </row>
    <row r="2">
      <c r="A2" s="8" t="inlineStr">
        <is>
          <t>All figures are LIVE FORMULAS over Raw_Data_Consolidated. Asset Turnover = Revenue from Operations / Total Assets (x). Sales per Employee = Revenue from Operations (₹ Cr) / BRSR Total Employees (D+E), shown in ₹ Crore per employee — shown only for years with disclosed headcount.</t>
        </is>
      </c>
    </row>
    <row r="3" ht="6" customHeight="1"/>
    <row r="5">
      <c r="A5" s="10" t="inlineStr">
        <is>
          <t>Asset Turnover (x)</t>
        </is>
      </c>
      <c r="B5" s="10" t="inlineStr">
        <is>
          <t>FY22</t>
        </is>
      </c>
      <c r="C5" s="10" t="inlineStr">
        <is>
          <t>FY23</t>
        </is>
      </c>
      <c r="D5" s="10" t="inlineStr">
        <is>
          <t>FY24</t>
        </is>
      </c>
      <c r="E5" s="10" t="inlineStr">
        <is>
          <t>FY25</t>
        </is>
      </c>
      <c r="F5" s="10" t="inlineStr">
        <is>
          <t>FY26</t>
        </is>
      </c>
    </row>
    <row r="6">
      <c r="A6" s="2" t="inlineStr">
        <is>
          <t>Adani Power</t>
        </is>
      </c>
      <c r="B6" s="25">
        <f>IFERROR(IF(OR(ISTEXT('Raw_Data_Consolidated'!C6),ISTEXT('Raw_Data_Consolidated'!C7)),"N/A",'Raw_Data_Consolidated'!C6/'Raw_Data_Consolidated'!C7),"N/A")</f>
        <v/>
      </c>
      <c r="C6" s="25">
        <f>IFERROR(IF(OR(ISTEXT('Raw_Data_Consolidated'!D6),ISTEXT('Raw_Data_Consolidated'!D7)),"N/A",'Raw_Data_Consolidated'!D6/'Raw_Data_Consolidated'!D7),"N/A")</f>
        <v/>
      </c>
      <c r="D6" s="25">
        <f>IFERROR(IF(OR(ISTEXT('Raw_Data_Consolidated'!E6),ISTEXT('Raw_Data_Consolidated'!E7)),"N/A",'Raw_Data_Consolidated'!E6/'Raw_Data_Consolidated'!E7),"N/A")</f>
        <v/>
      </c>
      <c r="E6" s="25">
        <f>IFERROR(IF(OR(ISTEXT('Raw_Data_Consolidated'!F6),ISTEXT('Raw_Data_Consolidated'!F7)),"N/A",'Raw_Data_Consolidated'!F6/'Raw_Data_Consolidated'!F7),"N/A")</f>
        <v/>
      </c>
      <c r="F6" s="25">
        <f>IFERROR(IF(OR(ISTEXT('Raw_Data_Consolidated'!G6),ISTEXT('Raw_Data_Consolidated'!G7)),"N/A",'Raw_Data_Consolidated'!G6/'Raw_Data_Consolidated'!G7),"N/A")</f>
        <v/>
      </c>
    </row>
    <row r="7">
      <c r="A7" s="2" t="inlineStr">
        <is>
          <t>Tata Power</t>
        </is>
      </c>
      <c r="B7" s="25">
        <f>IFERROR(IF(OR(ISTEXT('Raw_Data_Consolidated'!C10),ISTEXT('Raw_Data_Consolidated'!C11)),"N/A",'Raw_Data_Consolidated'!C10/'Raw_Data_Consolidated'!C11),"N/A")</f>
        <v/>
      </c>
      <c r="C7" s="25">
        <f>IFERROR(IF(OR(ISTEXT('Raw_Data_Consolidated'!D10),ISTEXT('Raw_Data_Consolidated'!D11)),"N/A",'Raw_Data_Consolidated'!D10/'Raw_Data_Consolidated'!D11),"N/A")</f>
        <v/>
      </c>
      <c r="D7" s="25">
        <f>IFERROR(IF(OR(ISTEXT('Raw_Data_Consolidated'!E10),ISTEXT('Raw_Data_Consolidated'!E11)),"N/A",'Raw_Data_Consolidated'!E10/'Raw_Data_Consolidated'!E11),"N/A")</f>
        <v/>
      </c>
      <c r="E7" s="25">
        <f>IFERROR(IF(OR(ISTEXT('Raw_Data_Consolidated'!F10),ISTEXT('Raw_Data_Consolidated'!F11)),"N/A",'Raw_Data_Consolidated'!F10/'Raw_Data_Consolidated'!F11),"N/A")</f>
        <v/>
      </c>
      <c r="F7" s="25">
        <f>IFERROR(IF(OR(ISTEXT('Raw_Data_Consolidated'!G10),ISTEXT('Raw_Data_Consolidated'!G11)),"N/A",'Raw_Data_Consolidated'!G10/'Raw_Data_Consolidated'!G11),"N/A")</f>
        <v/>
      </c>
    </row>
    <row r="8">
      <c r="A8" s="2" t="inlineStr">
        <is>
          <t>Torrent Power</t>
        </is>
      </c>
      <c r="B8" s="25">
        <f>IFERROR(IF(OR(ISTEXT('Raw_Data_Consolidated'!C14),ISTEXT('Raw_Data_Consolidated'!C15)),"N/A",'Raw_Data_Consolidated'!C14/'Raw_Data_Consolidated'!C15),"N/A")</f>
        <v/>
      </c>
      <c r="C8" s="25">
        <f>IFERROR(IF(OR(ISTEXT('Raw_Data_Consolidated'!D14),ISTEXT('Raw_Data_Consolidated'!D15)),"N/A",'Raw_Data_Consolidated'!D14/'Raw_Data_Consolidated'!D15),"N/A")</f>
        <v/>
      </c>
      <c r="D8" s="25">
        <f>IFERROR(IF(OR(ISTEXT('Raw_Data_Consolidated'!E14),ISTEXT('Raw_Data_Consolidated'!E15)),"N/A",'Raw_Data_Consolidated'!E14/'Raw_Data_Consolidated'!E15),"N/A")</f>
        <v/>
      </c>
      <c r="E8" s="25">
        <f>IFERROR(IF(OR(ISTEXT('Raw_Data_Consolidated'!F14),ISTEXT('Raw_Data_Consolidated'!F15)),"N/A",'Raw_Data_Consolidated'!F14/'Raw_Data_Consolidated'!F15),"N/A")</f>
        <v/>
      </c>
      <c r="F8" s="25">
        <f>IFERROR(IF(OR(ISTEXT('Raw_Data_Consolidated'!G14),ISTEXT('Raw_Data_Consolidated'!G15)),"N/A",'Raw_Data_Consolidated'!G14/'Raw_Data_Consolidated'!G15),"N/A")</f>
        <v/>
      </c>
    </row>
    <row r="10">
      <c r="A10" s="9" t="inlineStr">
        <is>
          <t>Comments</t>
        </is>
      </c>
    </row>
    <row r="11" ht="90" customHeight="1">
      <c r="A11" s="14" t="inlineStr">
        <is>
          <t>Torrent Power runs the highest asset turnover of the three throughout FY22-FY26 (0.57x rising to a peak of 0.86x in FY23, easing to 0.64x by FY26), reflecting its distribution-heavy, less capital-intensive business mix relative to pure generation. Adani Power's ratio rises from 0.34x (FY22) to a peak of 0.55x in FY24 as newly-commissioned/acquired thermal capacity ramped up revenue faster than the asset base grew, then eases to 0.50x (FY25) and 0.38x (FY26) as heavy capex (Total Assets jump from ₹92,325 Cr to ₹1,42,280 Cr over FY24-FY26, largely capital work-in-progress) outpaced revenue growth — revenue was actually flat/slightly down in FY26. Tata Power shows the most capital-intensive profile of the three, hovering in a narrow 0.36x-0.44x band throughout, consistent with its longer-gestation generation-cum-transmission-cum-distribution asset base and continuous heavy capex in renewables and grid infrastructure.</t>
        </is>
      </c>
    </row>
    <row r="12"/>
    <row r="13"/>
    <row r="14"/>
    <row r="16">
      <c r="A16" s="10" t="inlineStr">
        <is>
          <t>Sales per Employee (₹ Cr)</t>
        </is>
      </c>
      <c r="B16" s="10" t="inlineStr">
        <is>
          <t>FY22</t>
        </is>
      </c>
      <c r="C16" s="10" t="inlineStr">
        <is>
          <t>FY23</t>
        </is>
      </c>
      <c r="D16" s="10" t="inlineStr">
        <is>
          <t>FY24</t>
        </is>
      </c>
      <c r="E16" s="10" t="inlineStr">
        <is>
          <t>FY25</t>
        </is>
      </c>
      <c r="F16" s="10" t="inlineStr">
        <is>
          <t>FY26</t>
        </is>
      </c>
    </row>
    <row r="17">
      <c r="A17" s="2" t="inlineStr">
        <is>
          <t>Adani Power</t>
        </is>
      </c>
      <c r="B17" s="25">
        <f>IFERROR(IF(OR(ISTEXT('Raw_Data_Consolidated'!C6),ISTEXT('Raw_Data_Consolidated'!C9)),"N/A",'Raw_Data_Consolidated'!C6/'Raw_Data_Consolidated'!C9),"N/A")</f>
        <v/>
      </c>
      <c r="C17" s="25">
        <f>IFERROR(IF(OR(ISTEXT('Raw_Data_Consolidated'!D6),ISTEXT('Raw_Data_Consolidated'!D9)),"N/A",'Raw_Data_Consolidated'!D6/'Raw_Data_Consolidated'!D9),"N/A")</f>
        <v/>
      </c>
      <c r="D17" s="25">
        <f>IFERROR(IF(OR(ISTEXT('Raw_Data_Consolidated'!E6),ISTEXT('Raw_Data_Consolidated'!E9)),"N/A",'Raw_Data_Consolidated'!E6/'Raw_Data_Consolidated'!E9),"N/A")</f>
        <v/>
      </c>
      <c r="E17" s="25">
        <f>IFERROR(IF(OR(ISTEXT('Raw_Data_Consolidated'!F6),ISTEXT('Raw_Data_Consolidated'!F9)),"N/A",'Raw_Data_Consolidated'!F6/'Raw_Data_Consolidated'!F9),"N/A")</f>
        <v/>
      </c>
      <c r="F17" s="25">
        <f>IFERROR(IF(OR(ISTEXT('Raw_Data_Consolidated'!G6),ISTEXT('Raw_Data_Consolidated'!G9)),"N/A",'Raw_Data_Consolidated'!G6/'Raw_Data_Consolidated'!G9),"N/A")</f>
        <v/>
      </c>
    </row>
    <row r="18">
      <c r="A18" s="2" t="inlineStr">
        <is>
          <t>Tata Power</t>
        </is>
      </c>
      <c r="B18" s="25">
        <f>IFERROR(IF(OR(ISTEXT('Raw_Data_Consolidated'!C10),ISTEXT('Raw_Data_Consolidated'!C13)),"N/A",'Raw_Data_Consolidated'!C10/'Raw_Data_Consolidated'!C13),"N/A")</f>
        <v/>
      </c>
      <c r="C18" s="25">
        <f>IFERROR(IF(OR(ISTEXT('Raw_Data_Consolidated'!D10),ISTEXT('Raw_Data_Consolidated'!D13)),"N/A",'Raw_Data_Consolidated'!D10/'Raw_Data_Consolidated'!D13),"N/A")</f>
        <v/>
      </c>
      <c r="D18" s="25">
        <f>IFERROR(IF(OR(ISTEXT('Raw_Data_Consolidated'!E10),ISTEXT('Raw_Data_Consolidated'!E13)),"N/A",'Raw_Data_Consolidated'!E10/'Raw_Data_Consolidated'!E13),"N/A")</f>
        <v/>
      </c>
      <c r="E18" s="25">
        <f>IFERROR(IF(OR(ISTEXT('Raw_Data_Consolidated'!F10),ISTEXT('Raw_Data_Consolidated'!F13)),"N/A",'Raw_Data_Consolidated'!F10/'Raw_Data_Consolidated'!F13),"N/A")</f>
        <v/>
      </c>
      <c r="F18" s="25">
        <f>IFERROR(IF(OR(ISTEXT('Raw_Data_Consolidated'!G10),ISTEXT('Raw_Data_Consolidated'!G13)),"N/A",'Raw_Data_Consolidated'!G10/'Raw_Data_Consolidated'!G13),"N/A")</f>
        <v/>
      </c>
    </row>
    <row r="19">
      <c r="A19" s="2" t="inlineStr">
        <is>
          <t>Torrent Power</t>
        </is>
      </c>
      <c r="B19" s="25">
        <f>IFERROR(IF(OR(ISTEXT('Raw_Data_Consolidated'!C14),ISTEXT('Raw_Data_Consolidated'!C17)),"N/A",'Raw_Data_Consolidated'!C14/'Raw_Data_Consolidated'!C17),"N/A")</f>
        <v/>
      </c>
      <c r="C19" s="25">
        <f>IFERROR(IF(OR(ISTEXT('Raw_Data_Consolidated'!D14),ISTEXT('Raw_Data_Consolidated'!D17)),"N/A",'Raw_Data_Consolidated'!D14/'Raw_Data_Consolidated'!D17),"N/A")</f>
        <v/>
      </c>
      <c r="D19" s="25">
        <f>IFERROR(IF(OR(ISTEXT('Raw_Data_Consolidated'!E14),ISTEXT('Raw_Data_Consolidated'!E17)),"N/A",'Raw_Data_Consolidated'!E14/'Raw_Data_Consolidated'!E17),"N/A")</f>
        <v/>
      </c>
      <c r="E19" s="25">
        <f>IFERROR(IF(OR(ISTEXT('Raw_Data_Consolidated'!F14),ISTEXT('Raw_Data_Consolidated'!F17)),"N/A",'Raw_Data_Consolidated'!F14/'Raw_Data_Consolidated'!F17),"N/A")</f>
        <v/>
      </c>
      <c r="F19" s="25">
        <f>IFERROR(IF(OR(ISTEXT('Raw_Data_Consolidated'!G14),ISTEXT('Raw_Data_Consolidated'!G17)),"N/A",'Raw_Data_Consolidated'!G14/'Raw_Data_Consolidated'!G17),"N/A")</f>
        <v/>
      </c>
    </row>
    <row r="21">
      <c r="A21" s="9" t="inlineStr">
        <is>
          <t>Comments</t>
        </is>
      </c>
    </row>
    <row r="22" ht="150" customHeight="1">
      <c r="A22" s="14" t="inlineStr">
        <is>
          <t>Adani Power generates by far the highest sales per employee (₹9.4-15.2 Cr), typical of a pure thermal generation IPP — running large power plants needs relatively few staff per rupee of output compared with a business that also has to staff retail billing, metering and customer service. Tata Power shows the lowest sales per employee (₹2.0-2.8 Cr) of the three, consistent with its large distribution/retail workforce spread across multiple discoms (Mumbai, Delhi JV, Odisha, Ajmer) plus its EPC/rooftop-solar and EV-charging businesses, which are more labour-intensive per rupee of revenue than generation alone. Torrent Power sits in between but much closer to Tata Power (₹3.1-3.6 Cr) — it is also a generation-plus-distribution utility, but its distribution footprint is more concentrated (fewer, denser license areas) than Tata Power's, giving it a modest edge. All three companies' ratios trended up through FY24/FY25 as revenue grew faster than headcount, before easing slightly in FY26. BASIS: Employees = BRSR 'Total Employees (D+E)', the standalone reporting entity's on-roll headcount (permanent + other-than-permanent) — a like-for-like basis across all three companies, but revenue is CONSOLIDATED (group-wide) while headcount is STANDALONE (parent entity only), so treat these as directionally comparable rather than perfectly apples-to-apples; Torrent Power runs most of its operations in the parent entity, so its ratio is closest to a true group-wide figure.</t>
        </is>
      </c>
    </row>
    <row r="23"/>
    <row r="24"/>
    <row r="25"/>
    <row r="26"/>
    <row r="27"/>
    <row r="28"/>
  </sheetData>
  <mergeCells count="4">
    <mergeCell ref="A2:F2"/>
    <mergeCell ref="A11:F14"/>
    <mergeCell ref="A1:F1"/>
    <mergeCell ref="A22:F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0"/>
  <sheetViews>
    <sheetView workbookViewId="0">
      <pane ySplit="5" topLeftCell="A6" activePane="bottomLeft" state="frozen"/>
      <selection pane="bottomLeft" activeCell="A1" sqref="A1"/>
    </sheetView>
  </sheetViews>
  <sheetFormatPr baseColWidth="8" defaultRowHeight="15"/>
  <cols>
    <col width="34" customWidth="1" min="1" max="1"/>
    <col width="20" customWidth="1" min="2" max="2"/>
    <col width="15" customWidth="1" min="3" max="3"/>
    <col width="15" customWidth="1" min="4" max="4"/>
    <col width="15" customWidth="1" min="5" max="5"/>
    <col width="15" customWidth="1" min="6" max="6"/>
    <col width="15" customWidth="1" min="7" max="7"/>
    <col width="22" customWidth="1" min="8" max="8"/>
  </cols>
  <sheetData>
    <row r="1" ht="24" customHeight="1">
      <c r="A1" s="7" t="inlineStr">
        <is>
          <t>4. Business Acquisitions (last 5 years) &amp; Impact on Sales, Profit and Cash</t>
        </is>
      </c>
    </row>
    <row r="2">
      <c r="A2" s="8" t="inlineStr">
        <is>
          <t>All figures as disclosed in each company's own Annual Report MD&amp;A / Business Combination notes. ₹ Crore unless stated.</t>
        </is>
      </c>
    </row>
    <row r="3" ht="6" customHeight="1"/>
    <row r="5" ht="20" customHeight="1">
      <c r="A5" s="26" t="inlineStr">
        <is>
          <t>ADANI POWER — Acquisitions FY22-FY26</t>
        </is>
      </c>
    </row>
    <row r="6" ht="40" customHeight="1">
      <c r="A6" s="27" t="inlineStr">
        <is>
          <t>Adani Power made five major acquisitions in the last five years, all coal/thermal generation assets acquired either through the Insolvency &amp; Bankruptcy Code (IBC) resolution process or via Business Transfer Agreement — consistent with its stated strategy of inorganic capacity growth alongside organic expansion:</t>
        </is>
      </c>
    </row>
    <row r="7" ht="32" customHeight="1">
      <c r="A7" s="27" t="inlineStr">
        <is>
          <t>1. Mahan Energen Ltd. (MEL, formerly Essar Power M.P. Ltd.) — 1,200 MW, control acquired 16-Mar-2022 (IBC resolution), consolidated from FY22-23. Capital reserve of ₹378.92 Cr arose on acquisition.</t>
        </is>
      </c>
    </row>
    <row r="8" ht="32" customHeight="1">
      <c r="A8" s="27" t="inlineStr">
        <is>
          <t>2. Coastal Energen Pvt. Ltd. (CEPL) / Moxie Power Generation Ltd. (MPGL) — 1,200 MW (Tuticorin, Tamil Nadu), 49% consortium stake, acquisition completed 31-Aug-2024 (IBC resolution); NCLT order was contested at NCLAT/Supreme Court by erstwhile promoters (status-quo orders followed) — litigation risk remains live.</t>
        </is>
      </c>
    </row>
    <row r="9" ht="32" customHeight="1">
      <c r="A9" s="27" t="inlineStr">
        <is>
          <t>3. Lanco Amarkantak Power Ltd. → renamed Korba Power Ltd. (KPL) — 600 MW operational + 1,320 MW under construction (Korba, Chhattisgarh), acquired 6-Sep-2024 (IBC resolution).</t>
        </is>
      </c>
    </row>
    <row r="10" ht="32" customHeight="1">
      <c r="A10" s="27" t="inlineStr">
        <is>
          <t>4. Adani Dahanu Thermal Power Station (ADTPS) — 500 MW (Maharashtra), acquired 30-Sep-2024 via Business Transfer Agreement from an associate concern; purchase consideration ₹815.00 Cr (100% cash), no goodwill/capital reserve (fair value of net assets = consideration paid).</t>
        </is>
      </c>
    </row>
    <row r="11" ht="32" customHeight="1">
      <c r="A11" s="27" t="inlineStr">
        <is>
          <t>5. Vidarbha Industries Power Ltd. (VIPL) — 600 MW, acquired 7-Jul-2025 (IBC resolution).</t>
        </is>
      </c>
    </row>
    <row r="13">
      <c r="A13" s="10" t="inlineStr">
        <is>
          <t>Subsidiary (acquisition)</t>
        </is>
      </c>
      <c r="B13" s="10" t="inlineStr">
        <is>
          <t>Period covered</t>
        </is>
      </c>
      <c r="C13" s="10" t="inlineStr">
        <is>
          <t>Total Income contribution (₹ Cr)</t>
        </is>
      </c>
      <c r="D13" s="10" t="inlineStr">
        <is>
          <t>EBITDA contribution (₹ Cr)</t>
        </is>
      </c>
      <c r="E13" s="10" t="inlineStr">
        <is>
          <t>Depreciation (₹ Cr)</t>
        </is>
      </c>
      <c r="F13" s="10" t="inlineStr">
        <is>
          <t>Finance cost (₹ Cr)</t>
        </is>
      </c>
      <c r="G13" s="10" t="inlineStr">
        <is>
          <t>PBT contribution (₹ Cr)</t>
        </is>
      </c>
      <c r="H13" s="10" t="inlineStr">
        <is>
          <t>PAT / TCI contribution (₹ Cr)</t>
        </is>
      </c>
    </row>
    <row r="14" ht="45" customHeight="1">
      <c r="A14" s="19" t="inlineStr">
        <is>
          <t>MEL — FY22-23 (1st full year)</t>
        </is>
      </c>
      <c r="B14" s="19" t="inlineStr">
        <is>
          <t>FY 2022-23</t>
        </is>
      </c>
      <c r="C14" s="28" t="n">
        <v>2752</v>
      </c>
      <c r="D14" s="28" t="n">
        <v>771</v>
      </c>
      <c r="E14" s="19" t="inlineStr">
        <is>
          <t>N/A</t>
        </is>
      </c>
      <c r="F14" s="19" t="inlineStr">
        <is>
          <t>N/A</t>
        </is>
      </c>
      <c r="G14" s="19" t="inlineStr">
        <is>
          <t>N/A</t>
        </is>
      </c>
      <c r="H14" s="19" t="inlineStr">
        <is>
          <t>245 (PAT)</t>
        </is>
      </c>
    </row>
    <row r="15" ht="45" customHeight="1">
      <c r="A15" s="19" t="inlineStr">
        <is>
          <t>MEL — FY24-25</t>
        </is>
      </c>
      <c r="B15" s="19" t="inlineStr">
        <is>
          <t>FY 2024-25</t>
        </is>
      </c>
      <c r="C15" s="28" t="n">
        <v>4219.97</v>
      </c>
      <c r="D15" s="28" t="n">
        <v>1893.43</v>
      </c>
      <c r="E15" s="28" t="n">
        <v>98.39</v>
      </c>
      <c r="F15" s="28" t="n">
        <v>373.91</v>
      </c>
      <c r="G15" s="28" t="n">
        <v>1020.97</v>
      </c>
      <c r="H15" s="19" t="inlineStr">
        <is>
          <t>3,056.52 (PAT, incl. ₹2,950 Cr exceptional impairment reversal)</t>
        </is>
      </c>
    </row>
    <row r="16" ht="45" customHeight="1">
      <c r="A16" s="19" t="inlineStr">
        <is>
          <t>MEL — FY25-26</t>
        </is>
      </c>
      <c r="B16" s="19" t="inlineStr">
        <is>
          <t>FY 2025-26</t>
        </is>
      </c>
      <c r="C16" s="28" t="n">
        <v>3614.16</v>
      </c>
      <c r="D16" s="28" t="n">
        <v>1599.34</v>
      </c>
      <c r="E16" s="28" t="n">
        <v>276.31</v>
      </c>
      <c r="F16" s="28" t="n">
        <v>339.78</v>
      </c>
      <c r="G16" s="28" t="n">
        <v>983.25</v>
      </c>
      <c r="H16" s="19" t="inlineStr">
        <is>
          <t>784.47 (PAT) / 785.78 (TCI)</t>
        </is>
      </c>
    </row>
    <row r="17" ht="45" customHeight="1">
      <c r="A17" s="19" t="inlineStr">
        <is>
          <t>MPGL / Coastal Energen — FY24-25 (stub period, acq. 31-Aug-24)</t>
        </is>
      </c>
      <c r="B17" s="19" t="inlineStr">
        <is>
          <t>FY 2024-25 (since acquisition)</t>
        </is>
      </c>
      <c r="C17" s="28" t="n">
        <v>1587.34</v>
      </c>
      <c r="D17" s="28" t="n">
        <v>-127.18</v>
      </c>
      <c r="E17" s="28" t="n">
        <v>211.7</v>
      </c>
      <c r="F17" s="28" t="n">
        <v>148.65</v>
      </c>
      <c r="G17" s="28" t="n">
        <v>-487.53</v>
      </c>
      <c r="H17" s="19" t="inlineStr">
        <is>
          <t>(371.30) TCI — loss-making</t>
        </is>
      </c>
    </row>
    <row r="18" ht="45" customHeight="1">
      <c r="A18" s="19" t="inlineStr">
        <is>
          <t>MPGL / Coastal Energen — FY25-26 (1st full year)</t>
        </is>
      </c>
      <c r="B18" s="19" t="inlineStr">
        <is>
          <t>FY 2025-26</t>
        </is>
      </c>
      <c r="C18" s="28" t="n">
        <v>2985.22</v>
      </c>
      <c r="D18" s="28" t="n">
        <v>425.85</v>
      </c>
      <c r="E18" s="28" t="n">
        <v>301.79</v>
      </c>
      <c r="F18" s="28" t="n">
        <v>271.07</v>
      </c>
      <c r="G18" s="28" t="n">
        <v>-147.01</v>
      </c>
      <c r="H18" s="19" t="inlineStr">
        <is>
          <t>268.21 (PAT) / 268.52 (TCI) — turned profitable</t>
        </is>
      </c>
    </row>
    <row r="19" ht="45" customHeight="1">
      <c r="A19" s="19" t="inlineStr">
        <is>
          <t>KPL / Korba (Lanco Amarkantak) — FY24-25 (stub, acq. 6-Sep-24)</t>
        </is>
      </c>
      <c r="B19" s="19" t="inlineStr">
        <is>
          <t>FY 2024-25 (since acquisition)</t>
        </is>
      </c>
      <c r="C19" s="28" t="n">
        <v>742.49</v>
      </c>
      <c r="D19" s="28" t="n">
        <v>187.03</v>
      </c>
      <c r="E19" s="28" t="n">
        <v>11.24</v>
      </c>
      <c r="F19" s="28" t="n">
        <v>94.48</v>
      </c>
      <c r="G19" s="28" t="n">
        <v>81.31</v>
      </c>
      <c r="H19" s="19" t="inlineStr">
        <is>
          <t>63.96 (PAT) / 60.71 (TCI)</t>
        </is>
      </c>
    </row>
    <row r="20" ht="45" customHeight="1">
      <c r="A20" s="19" t="inlineStr">
        <is>
          <t>KPL / Korba — FY25-26 (1st full year)</t>
        </is>
      </c>
      <c r="B20" s="19" t="inlineStr">
        <is>
          <t>FY 2025-26</t>
        </is>
      </c>
      <c r="C20" s="28" t="n">
        <v>1551.67</v>
      </c>
      <c r="D20" s="28" t="n">
        <v>601.5</v>
      </c>
      <c r="E20" s="28" t="n">
        <v>64.95999999999999</v>
      </c>
      <c r="F20" s="28" t="n">
        <v>131.75</v>
      </c>
      <c r="G20" s="28" t="n">
        <v>404.79</v>
      </c>
      <c r="H20" s="19" t="inlineStr">
        <is>
          <t>353.50 (PAT) / 357.65 (TCI) — strong growth</t>
        </is>
      </c>
    </row>
    <row r="21" ht="45" customHeight="1">
      <c r="A21" s="19" t="inlineStr">
        <is>
          <t>ADTPS / Dahanu — FY24-25 (since acquisition 30-Sep-24)</t>
        </is>
      </c>
      <c r="B21" s="19" t="inlineStr">
        <is>
          <t>FY 2024-25 (since acquisition)</t>
        </is>
      </c>
      <c r="C21" s="28" t="n">
        <v>748.9400000000001</v>
      </c>
      <c r="D21" s="19" t="inlineStr">
        <is>
          <t>N/A</t>
        </is>
      </c>
      <c r="E21" s="19" t="inlineStr">
        <is>
          <t>N/A</t>
        </is>
      </c>
      <c r="F21" s="19" t="inlineStr">
        <is>
          <t>N/A</t>
        </is>
      </c>
      <c r="G21" s="19" t="inlineStr">
        <is>
          <t>N/A</t>
        </is>
      </c>
      <c r="H21" s="19" t="inlineStr">
        <is>
          <t>84.04 (PAT, standalone basis)</t>
        </is>
      </c>
    </row>
    <row r="22" ht="45" customHeight="1">
      <c r="A22" s="19" t="inlineStr">
        <is>
          <t>VIPL — FY25-26 (stub, acq. 7-Jul-25)</t>
        </is>
      </c>
      <c r="B22" s="19" t="inlineStr">
        <is>
          <t>FY 2025-26 (since acquisition)</t>
        </is>
      </c>
      <c r="C22" s="28" t="n">
        <v>1242.73</v>
      </c>
      <c r="D22" s="28" t="n">
        <v>470.21</v>
      </c>
      <c r="E22" s="28" t="n">
        <v>43.74</v>
      </c>
      <c r="F22" s="28" t="n">
        <v>283.22</v>
      </c>
      <c r="G22" s="28" t="n">
        <v>143.25</v>
      </c>
      <c r="H22" s="19" t="inlineStr">
        <is>
          <t>552.26 (PAT) / 552.44 (TCI)</t>
        </is>
      </c>
    </row>
    <row r="23" ht="55" customHeight="1">
      <c r="A23" s="29" t="inlineStr">
        <is>
          <t>Source: Adani Power Annual Reports FY22-23 (MEL FY23 figures), FY24-25 (MEL/MPGL/KPL/ADTPS FY25 figures and business combination notes), FY25-26 (MEL/MPGL/KPL/VIPL FY26 figures, extracted from clean single-column page text to avoid multi-column PDF misreads). Note: MPGL's FY25 comparative figures were restated marginally between the FY24-25 AR (₹1,587.34 Cr total income) and the FY25-26 AR's comparative column (₹1,580.94 Cr) — likely a purchase-price-allocation true-up within the Ind AS 103 measurement period; both are shown as originally reported in their respective ARs.</t>
        </is>
      </c>
    </row>
    <row r="24" ht="140" customHeight="1">
      <c r="A24" s="27" t="inlineStr">
        <is>
          <t>Impact assessment: MEL is the clearest success story — its FY23 contribution (₹2,752 Cr revenue, ₹245 Cr PAT) grew to ₹4,220 Cr revenue / ₹3,057 Cr PAT by FY24-25 (including a one-off ₹2,950 Cr exceptional impairment-reversal gain) before normalising to ₹3,614 Cr revenue / ₹784 Cr PAT in FY25-26 — still ~3x its first-year PAT contribution, and it prepaid ₹650 Cr of debt from its own operating cash surplus in its first year, evidencing strong post-acquisition cash generation. Korba Power (KPL) shows a similar trajectory — PAT contribution roughly doubled from its stub-period ₹64 Cr (FY25) to ₹354 Cr in its first full year (FY26). Coastal Energen/MPGL was loss-making in its first (partial) year post-acquisition — a ₹371 Cr total comprehensive loss — reflecting ongoing NCLT/NCLAT/Supreme Court litigation over the resolution plan and likely sub-optimal plant utilisation during the dispute; it swung to a ₹269 Cr profit in FY26 as operations stabilised, though the legal overhang is a continuing risk flagged in the AR itself. ADTPS and VIPL are too newly acquired (Sep-2024 and Jul-2025 respectively) to assess a multi-year trend yet, though both were immediately profitability-accretive in their first stub period. Overall, these acquisitions collectively lifted Adani Power's operating capacity from 12,450 MW (FY22) to 18,150 MW (FY26) — a ~46% increase — with newly acquired plants contributing a growing share of group revenue and EBITDA each year, though also adding integration/litigation risk (MPGL) and higher consolidated finance costs and depreciation.</t>
        </is>
      </c>
    </row>
    <row r="26" ht="20" customHeight="1">
      <c r="A26" s="26" t="inlineStr">
        <is>
          <t>TATA POWER — Acquisitions FY21-FY26</t>
        </is>
      </c>
    </row>
    <row r="27" ht="30" customHeight="1">
      <c r="A27" s="27" t="inlineStr">
        <is>
          <t>Tata Power's key acquisitions in this window are concentrated in FY21-22, both consolidating platform investments built up over prior years:</t>
        </is>
      </c>
    </row>
    <row r="28" ht="45" customHeight="1">
      <c r="A28" s="27" t="inlineStr">
        <is>
          <t>1. Odisha Discoms — Tata Power (through subsidiaries TPWODL, TPSODL, TPCODL — Western/Southern/Central Odisha, acquired ~FY20-21 via competitive bidding/privatisation) completed the set by acquiring a 51% stake in TP Northern Odisha Distribution Ltd. (TPNODL) during FY21-22, serving ~2 million additional consumers. FY21-22 was the first FULL year of consolidation for the earlier three Odisha discoms.</t>
        </is>
      </c>
    </row>
    <row r="29" ht="45" customHeight="1">
      <c r="A29" s="27" t="inlineStr">
        <is>
          <t>2. NRSS XXXVI Transmission Ltd. (NRSS) — a transmission asset acquired through the Resurgent Power Ventures platform (a JV/stressed-assets consolidation vehicle with ICICI Venture), consolidated into Tata Power's group accounts around FY21-22/22-23.</t>
        </is>
      </c>
    </row>
    <row r="30" ht="20" customHeight="1">
      <c r="A30" s="30" t="inlineStr">
        <is>
          <t>Financial impact (per Tata Power's own MD&amp;A attribution, Consolidated basis):</t>
        </is>
      </c>
    </row>
    <row r="31" ht="40" customHeight="1">
      <c r="A31" s="27" t="inlineStr">
        <is>
          <t>• FY21-22 Operating Revenue grew to ₹42,576 Cr (FY21: ₹33,239 Cr, +28%) — the AR explicitly attributes this increase 'mainly due to acquisition of Odisha Discoms, RE capacity addition and execution of major solar EPC projects'.</t>
        </is>
      </c>
    </row>
    <row r="32" ht="40" customHeight="1">
      <c r="A32" s="27" t="inlineStr">
        <is>
          <t>• FY21-22 Consolidated PAT grew to ₹2,156 Cr (FY21: ₹1,439 Cr, +50%) — attributed 'mainly due to improved performance and full year impact of Odisha Discoms ... offset by higher loss in Tata Projects'.</t>
        </is>
      </c>
    </row>
    <row r="33" ht="40" customHeight="1">
      <c r="A33" s="27" t="inlineStr">
        <is>
          <t>• Finance costs actually DECREASED (₹4,010 Cr → ₹3,859 Cr) despite the acquisitions, due to refinancing/repayment of loans at Mundra (CGPL) — i.e., the Odisha Discom acquisitions were accretive without materially straining the group's finance cost base that year.</t>
        </is>
      </c>
    </row>
    <row r="34" ht="55" customHeight="1">
      <c r="A34" s="29" t="inlineStr">
        <is>
          <t>Source: Tata Power Integrated Annual Report 2021-22 — Directors' Report Section 8 (Subsidiaries/JVs/Associates, holding-structure changes) and MD&amp;A Section 2.1 (Consolidated financial performance); Annual Report 2022-23 Directors' Report (NRSS XXXVI Transmission Ltd. reference). Note: unlike Adani Power, Tata Power's MD&amp;A does not disclose a standalone contribution-to-revenue/profit figure for each acquired Odisha Discom or for NRSS individually — the impact above is as explicitly attributed by the company itself at the aggregate consolidated level; no subsidiary-level figure has been estimated or assumed.</t>
        </is>
      </c>
    </row>
    <row r="36" ht="20" customHeight="1">
      <c r="A36" s="26" t="inlineStr">
        <is>
          <t>TORRENT POWER — Acquisitions FY21-22 to FY22-23</t>
        </is>
      </c>
    </row>
    <row r="37" ht="40" customHeight="1">
      <c r="A37" s="27" t="inlineStr">
        <is>
          <t>Torrent Power made five renewable-energy (solar/wind) acquisitions in FY21-22/FY22-23, consistent with its stated strategy of growing clean generation capacity — all became wholly-owned subsidiaries via Share Purchase Agreements:</t>
        </is>
      </c>
    </row>
    <row r="38" ht="32" customHeight="1">
      <c r="A38" s="27" t="inlineStr">
        <is>
          <t>1. Surya Vidyut Ltd. (SVL) — 156 MW wind (Gujarat/Maharashtra/MP), acquired from CESC/Haldia Energy, WOS w.e.f. 11-Mar-2022.</t>
        </is>
      </c>
    </row>
    <row r="39" ht="32" customHeight="1">
      <c r="A39" s="27" t="inlineStr">
        <is>
          <t>2. Torrent Saurya Urja 6 Pvt. Ltd. (TSU6, formerly LREHL Renewables India SPV 1) — 50 MW solar (Maharashtra), acquired from Lightsource, WOS w.e.f. 25-Mar-2022.</t>
        </is>
      </c>
    </row>
    <row r="40" ht="32" customHeight="1">
      <c r="A40" s="27" t="inlineStr">
        <is>
          <t>3. Visual Percept Solar Projects Pvt. Ltd. (VPSPPL) — 25 MW solar (Gujarat), acquired from Blue Daimond Properties/Balarampur Chini Mills, WOS w.e.f. 15-Feb-2022.</t>
        </is>
      </c>
    </row>
    <row r="41" ht="32" customHeight="1">
      <c r="A41" s="27" t="inlineStr">
        <is>
          <t>4. Sunshakti Solar Power Projects Pvt. Ltd. (SSPPPL) — solar (Telangana), WOS w.e.f. 13-Jun-2022.</t>
        </is>
      </c>
    </row>
    <row r="42" ht="32" customHeight="1">
      <c r="A42" s="27" t="inlineStr">
        <is>
          <t>5. Wind Two Renergy Pvt. Ltd. (WTRPL) — 50 MW wind (Gujarat), acquired from Inox Green Energy Services (was an Associate of Torrent Power until 29-Jul-2022, became a wholly-owned subsidiary from 30-Jul-2022).</t>
        </is>
      </c>
    </row>
    <row r="43" ht="20" customHeight="1">
      <c r="A43" s="30" t="inlineStr">
        <is>
          <t>Aggregate financial impact (Consolidated Cash Flow &amp; Balance Sheet, ₹ Cr):</t>
        </is>
      </c>
    </row>
    <row r="44" ht="55" customHeight="1">
      <c r="A44" s="27" t="inlineStr">
        <is>
          <t>• Cash outflow 'Acquisition of subsidiaries, net of cash acquired': FY22 = (515.23); FY23 = +28.05 (net INFLOW — cash acquired with the SPVs exceeded consideration paid that year); FY24 = (18.74) for a further, separate small acquisition.</t>
        </is>
      </c>
    </row>
    <row r="45" ht="55" customHeight="1">
      <c r="A45" s="27" t="inlineStr">
        <is>
          <t>• Goodwill of ₹171.07 Cr first appeared on the Consolidated Balance Sheet in FY23 (nil in FY21/FY22) — arising from these acquisitions — and has remained unchanged through FY26, i.e. no impairment recognised to date.</t>
        </is>
      </c>
    </row>
    <row r="46" ht="55" customHeight="1">
      <c r="A46" s="27" t="inlineStr">
        <is>
          <t>• Torrent Power's consolidated Revenue grew ~80% in FY22-23 (₹14,258 Cr → ₹25,694 Cr) and PAT grew ~372% (₹459 Cr → ₹2,165 Cr) — the year these acquisitions were substantially completed and first fully consolidated — though this was also the year Torrent's Surat/Ahmedabad distribution business and gas-based generation benefited from a broader post-COVID demand recovery and higher merchant tariffs, so the acquisitions' specific contribution cannot be cleanly isolated from the AR's disclosure (Torrent Power, unlike Adani Power, does not publish a per-subsidiary revenue/PAT contribution table for these SPVs, likely reflecting their relatively small individual size versus the group).</t>
        </is>
      </c>
    </row>
    <row r="47" ht="40" customHeight="1">
      <c r="A47" s="29" t="inlineStr">
        <is>
          <t>Source: Torrent Power Integrated Annual Report 2022-23, Notes to Standalone Financial Statements, Note 9 'Investments in Subsidiaries' (acquisition dates/details); Consolidated Balance Sheet and Consolidated Cash Flow Statement, AR FY22-23/23-24 (goodwill and cash-flow figures, previously verified in this workbook's companion Torrent Power consolidated-financials file).</t>
        </is>
      </c>
    </row>
    <row r="49" ht="20" customHeight="1">
      <c r="A49" s="26" t="inlineStr">
        <is>
          <t>Cross-company observation</t>
        </is>
      </c>
    </row>
    <row r="50" ht="110" customHeight="1">
      <c r="A50" s="27" t="inlineStr">
        <is>
          <t>Adani Power is unique among the three in disclosing granular per-subsidiary revenue/EBITDA/PBT/PAT contribution figures every year (Ind AS 103 mandates this disclosure, but Adani Power's MD&amp;A voluntarily repeats it prominently) — this makes its acquisitions the most transparent to analyse. Tata Power and Torrent Power only disclose acquisition impact qualitatively/in aggregate at the consolidated level, so their acquisitions' precise standalone contribution could not be isolated without assuming figures not actually disclosed — which this workbook deliberately avoids. All three companies' acquisitions in this window were 100%/majority-control asset purchases (no material minority-stake portfolio investments), and all three used acquisitions to add generation capacity (thermal for Adani Power, discom/transmission for Tata Power, renewables for Torrent Power) rather than to diversify into adjacent business lines.</t>
        </is>
      </c>
    </row>
    <row r="52" ht="30" customHeight="1">
      <c r="A52" s="31" t="inlineStr">
        <is>
          <t>Other recent/pending/lapsed deals (supplementary — not in the team's core dataset above, kept for completeness)</t>
        </is>
      </c>
    </row>
    <row r="53">
      <c r="A53" s="10" t="inlineStr">
        <is>
          <t>Company</t>
        </is>
      </c>
      <c r="B53" s="10" t="inlineStr">
        <is>
          <t>Date</t>
        </is>
      </c>
      <c r="C53" s="10" t="inlineStr">
        <is>
          <t>Target / Deal</t>
        </is>
      </c>
      <c r="D53" s="10" t="inlineStr">
        <is>
          <t>Deal Size (₹ cr)</t>
        </is>
      </c>
      <c r="E53" s="10" t="inlineStr">
        <is>
          <t>Status</t>
        </is>
      </c>
      <c r="F53" s="10" t="inlineStr">
        <is>
          <t>Route</t>
        </is>
      </c>
    </row>
    <row r="54" ht="35" customHeight="1">
      <c r="A54" s="19" t="inlineStr">
        <is>
          <t>Adani Power</t>
        </is>
      </c>
      <c r="B54" s="19" t="inlineStr">
        <is>
          <t>Feb 2023</t>
        </is>
      </c>
      <c r="C54" s="19" t="inlineStr">
        <is>
          <t>DB Power (1,200 MW, Chhattisgarh)</t>
        </is>
      </c>
      <c r="D54" s="19" t="inlineStr">
        <is>
          <t>7,017 (deal signed)</t>
        </is>
      </c>
      <c r="E54" s="19" t="inlineStr">
        <is>
          <t>LAPSED — long-stop date expired unconsummated</t>
        </is>
      </c>
      <c r="F54" s="19" t="inlineStr">
        <is>
          <t>Negotiated M&amp;A</t>
        </is>
      </c>
    </row>
    <row r="55" ht="35" customHeight="1">
      <c r="A55" s="19" t="inlineStr">
        <is>
          <t>Adani Power</t>
        </is>
      </c>
      <c r="B55" s="19" t="inlineStr">
        <is>
          <t>~Mar 2026</t>
        </is>
      </c>
      <c r="C55" s="19" t="inlineStr">
        <is>
          <t>Jaiprakash Power Ventures Ltd — 24% stake via resolution plan (thermal + hydro assets)</t>
        </is>
      </c>
      <c r="D55" s="19" t="inlineStr">
        <is>
          <t>~14,535</t>
        </is>
      </c>
      <c r="E55" s="19" t="inlineStr">
        <is>
          <t>NCLT approved</t>
        </is>
      </c>
      <c r="F55" s="19" t="inlineStr">
        <is>
          <t>IBC/CIRP (implementing entity)</t>
        </is>
      </c>
    </row>
    <row r="56" ht="35" customHeight="1">
      <c r="A56" s="19" t="inlineStr">
        <is>
          <t>Adani Power</t>
        </is>
      </c>
      <c r="B56" s="19" t="inlineStr">
        <is>
          <t>Dec 2025 (bid)</t>
        </is>
      </c>
      <c r="C56" s="19" t="inlineStr">
        <is>
          <t>GVK Energy — Alaknanda hydro (330 MW, Uttarakhand)</t>
        </is>
      </c>
      <c r="D56" s="19" t="inlineStr">
        <is>
          <t>~3,000-4,000 (bid range)</t>
        </is>
      </c>
      <c r="E56" s="19" t="inlineStr">
        <is>
          <t>Frontrunner reported; completion unconfirmed</t>
        </is>
      </c>
      <c r="F56" s="19" t="inlineStr">
        <is>
          <t>IBC/CIRP (bidding)</t>
        </is>
      </c>
    </row>
    <row r="57" ht="35" customHeight="1">
      <c r="A57" s="19" t="inlineStr">
        <is>
          <t>Adani Power</t>
        </is>
      </c>
      <c r="B57" s="19" t="inlineStr">
        <is>
          <t>2024 (bid)</t>
        </is>
      </c>
      <c r="C57" s="19" t="inlineStr">
        <is>
          <t>KSK Mahanadi Power (1,800 MW, Chhattisgarh)</t>
        </is>
      </c>
      <c r="D57" s="19" t="inlineStr">
        <is>
          <t>~27,000 (bid)</t>
        </is>
      </c>
      <c r="E57" s="19" t="inlineStr">
        <is>
          <t>Completion status unconfirmed</t>
        </is>
      </c>
      <c r="F57" s="19" t="inlineStr">
        <is>
          <t>IBC/CIRP (bidding)</t>
        </is>
      </c>
    </row>
    <row r="58" ht="35" customHeight="1">
      <c r="A58" s="19" t="inlineStr">
        <is>
          <t>Tata Power</t>
        </is>
      </c>
      <c r="B58" s="19" t="inlineStr">
        <is>
          <t>Jun 2026</t>
        </is>
      </c>
      <c r="C58" s="19" t="inlineStr">
        <is>
          <t>Ryapte Power (transmission SPV) — Letter of Intent</t>
        </is>
      </c>
      <c r="D58" s="19" t="inlineStr">
        <is>
          <t>Not found</t>
        </is>
      </c>
      <c r="E58" s="19" t="inlineStr">
        <is>
          <t>LOI stage</t>
        </is>
      </c>
      <c r="F58" s="19" t="inlineStr">
        <is>
          <t>M&amp;A</t>
        </is>
      </c>
    </row>
    <row r="59" ht="35" customHeight="1">
      <c r="A59" s="19" t="inlineStr">
        <is>
          <t>Tata Power</t>
        </is>
      </c>
      <c r="B59" s="19" t="inlineStr">
        <is>
          <t>Ongoing</t>
        </is>
      </c>
      <c r="C59" s="19" t="inlineStr">
        <is>
          <t>Dorjilung Hydro Power Ltd stake (Bhutan, 1,125 MW project)</t>
        </is>
      </c>
      <c r="D59" s="19" t="inlineStr">
        <is>
          <t>Not found</t>
        </is>
      </c>
      <c r="E59" s="19" t="inlineStr">
        <is>
          <t>In development</t>
        </is>
      </c>
      <c r="F59" s="19" t="inlineStr">
        <is>
          <t>JV/equity stake</t>
        </is>
      </c>
    </row>
    <row r="60" ht="35" customHeight="1">
      <c r="A60" s="19" t="inlineStr">
        <is>
          <t>Torrent Power</t>
        </is>
      </c>
      <c r="B60" s="19" t="inlineStr">
        <is>
          <t>Jun 2026 (SPA Feb 2026)</t>
        </is>
      </c>
      <c r="C60" s="19" t="inlineStr">
        <is>
          <t>Nabha Power Ltd — 100% (2x700 MW coal, Punjab), from L&amp;T Power Development</t>
        </is>
      </c>
      <c r="D60" s="19" t="inlineStr">
        <is>
          <t>~3,632-3,661</t>
        </is>
      </c>
      <c r="E60" s="19" t="inlineStr">
        <is>
          <t>Completed</t>
        </is>
      </c>
      <c r="F60" s="19" t="inlineStr">
        <is>
          <t>M&amp;A</t>
        </is>
      </c>
    </row>
  </sheetData>
  <mergeCells count="35">
    <mergeCell ref="A9:H9"/>
    <mergeCell ref="A30:H30"/>
    <mergeCell ref="A39:H39"/>
    <mergeCell ref="A24:H24"/>
    <mergeCell ref="A36:H36"/>
    <mergeCell ref="A11:H11"/>
    <mergeCell ref="A49:H49"/>
    <mergeCell ref="A1:H1"/>
    <mergeCell ref="A45:H45"/>
    <mergeCell ref="A6:H6"/>
    <mergeCell ref="A7:H7"/>
    <mergeCell ref="A41:H41"/>
    <mergeCell ref="A37:H37"/>
    <mergeCell ref="A46:H46"/>
    <mergeCell ref="A27:H27"/>
    <mergeCell ref="A50:H50"/>
    <mergeCell ref="A26:H26"/>
    <mergeCell ref="A2:H2"/>
    <mergeCell ref="A42:H42"/>
    <mergeCell ref="A33:H33"/>
    <mergeCell ref="A47:H47"/>
    <mergeCell ref="A5:H5"/>
    <mergeCell ref="A23:H23"/>
    <mergeCell ref="A32:H32"/>
    <mergeCell ref="A8:H8"/>
    <mergeCell ref="A40:H40"/>
    <mergeCell ref="A29:H29"/>
    <mergeCell ref="A43:H43"/>
    <mergeCell ref="A38:H38"/>
    <mergeCell ref="A52:H52"/>
    <mergeCell ref="A10:H10"/>
    <mergeCell ref="A28:H28"/>
    <mergeCell ref="A44:H44"/>
    <mergeCell ref="A31:H31"/>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0"/>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9" t="inlineStr">
        <is>
          <t>Promoter holding (%)</t>
        </is>
      </c>
      <c r="B6" s="19" t="inlineStr">
        <is>
          <t>74.96% (Promoter &amp; Promoter Group, per FY26 Annual Report shareholding table)</t>
        </is>
      </c>
      <c r="C6" s="19" t="inlineStr">
        <is>
          <t>46.86% total promoter group; Tata Sons Pvt Ltd alone = 45.21% (per FY26 Annual Report)</t>
        </is>
      </c>
      <c r="D6" s="19" t="inlineStr">
        <is>
          <t>51.09% — Torrent Investments Ltd (formerly Torrent Investments Pvt Ltd), unchanged FY25→FY26 (per FY26 Annual Report)</t>
        </is>
      </c>
      <c r="E6" s="19" t="inlineStr">
        <is>
          <t>VERIFIED from FY25-26 Annual Reports (uploaded).</t>
        </is>
      </c>
    </row>
    <row r="7" ht="55" customHeight="1">
      <c r="A7" s="19" t="inlineStr">
        <is>
          <t>Promoter pledge</t>
        </is>
      </c>
      <c r="B7" s="19" t="inlineStr">
        <is>
          <t>CORRECTED: 1.81% of promoter holding IS pledged as at 31-Mar-2026 (steady for 5+ consecutive quarters — no new pledge created, none released), per SEBI quarterly shareholding-pattern filings (BSE/NSE), cross-checked against Trendlyne — ALL of it held by one entity, Gautambhai/Rajeshbhai Adani (on behalf of S.B. Adani Family Trust), which has 3.68% of ITS OWN holding pledged; no other promoter or public shareholder has any pledge.</t>
        </is>
      </c>
      <c r="C7" s="32" t="inlineStr">
        <is>
          <t>'Company has not raised loans during the year on the pledge of securities held in its subsidiaries, joint ventures...' — this is a CARO auditor's-report clause about the COMPANY pledging its OWN investments as loan collateral, not a promoter-share-pledge disclosure; Tata Power's actual promoter-share pledge % (per SEBI SHP filing) is UNCONFIRMED / not independently re-verified in this pass.</t>
        </is>
      </c>
      <c r="D7" s="32" t="inlineStr">
        <is>
          <t>Same CARO-clause caveat as Tata Power applies — this text is not a promoter-share-pledge disclosure; Torrent Power's actual promoter-share pledge % (per SEBI SHP filing) is UNCONFIRMED / not independently re-verified in this pass.</t>
        </is>
      </c>
      <c r="E7" s="19" t="inlineStr">
        <is>
          <t>IMPORTANT CORRECTION: the earlier claim of 'nil pledge for all three' conflated a CARO auditor clause (about the company pledging ITS OWN investments/securities as loan collateral) with promoter SHARE pledge (a distinct SEBI-mandated shareholding-pattern disclosure). For Adani Power, the actual promoter-share pledge (1.81%, all in one entity) is now correctly sourced from SEBI quarterly filings. Tata/Torrent's promoter-share pledge % has NOT been independently re-verified against a primary SEBI SHP filing in this pass — treat their 'no pledge' cells as unconfirmed, not verified nil, until checked at bseindia.com/corporates or nseindia.com (Corporates &gt; Shareholding Pattern).</t>
        </is>
      </c>
    </row>
    <row r="8" ht="55" customHeight="1">
      <c r="A8" s="19" t="inlineStr">
        <is>
          <t>FII / FPI holding (%)</t>
        </is>
      </c>
      <c r="B8" s="19" t="inlineStr">
        <is>
          <t>11.73% — 'Foreign Institutional Investors/Portfolio Investor', 2,26,30,86,903 shares (FY26 Annual Report, 'Category-wise shareholding as on March 31, 2026' table)</t>
        </is>
      </c>
      <c r="C8" s="19" t="inlineStr">
        <is>
          <t>10.04% — 'Foreign Portfolio Investors – Corporate' (FY26 Annual Report, Table 23 'Category-wise shareholding'). 5-yr trend (same AR's Institutional Holding Pattern chart): FY22 10.83%, FY23 9.46%, FY24 9.45%, FY25 9.39%, FY26 10.04%.</t>
        </is>
      </c>
      <c r="D8" s="19" t="inlineStr">
        <is>
          <t>8.40% — 'Foreign Portfolio Investors', 4,23,31,239 shares (FY26 Annual Report, 'By category of Members' table)</t>
        </is>
      </c>
      <c r="E8" s="32"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9" t="inlineStr">
        <is>
          <t>DII / Mutual Fund holding (%)</t>
        </is>
      </c>
      <c r="B9" s="19" t="inlineStr">
        <is>
          <t>3.65% = Insurance Companies (0.03%) + Mutual Funds/Banks/Financial Institutions (3.62%) — VERIFIED, same FY26 category-wise shareholding table.</t>
        </is>
      </c>
      <c r="C9" s="32"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9" t="inlineStr">
        <is>
          <t>21.06% = Mutual Funds (15.67%) + Insurance Companies (5.31%) + Financial Institutions &amp; Banks (0.08%) — VERIFIED, FY26 'By category of Members' table. SBI Mutual Fund alone = 8.57% (FY26, up from 7.95% FY25), within this total — VERIFIED from the top-10-shareholders table.</t>
        </is>
      </c>
      <c r="E9" s="19" t="inlineStr">
        <is>
          <t>All three VERIFIED from the FY25-26 Annual Reports' statutory category-wise shareholding tables; ties out exactly against the Free-float row below for all three companies (strong internal consistency check).</t>
        </is>
      </c>
    </row>
    <row r="10" ht="55" customHeight="1">
      <c r="A10" s="19" t="inlineStr">
        <is>
          <t>Public / Retail (%)</t>
        </is>
      </c>
      <c r="B10" s="19" t="inlineStr">
        <is>
          <t>9.66% = Indian Public &amp; others (5.24%) + Bodies Corporate (0.45%) + NRI/Foreign Nationals (0.19%) + Others (3.78%) — VERIFIED, same FY26 table.</t>
        </is>
      </c>
      <c r="C10" s="19" t="inlineStr">
        <is>
          <t>26.19% = Resident Individuals &amp; HUF (22.01%) + Non-Resident Indians (1.30%) + Others (2.88%) — VERIFIED, FY26 Table 23.</t>
        </is>
      </c>
      <c r="D10" s="19" t="inlineStr">
        <is>
          <t>11.10% = Non-Institutional Individuals (5.51%) + Body Corporates (2.77%) + Others (2.82%) — VERIFIED, FY26 'By category of Members' table.</t>
        </is>
      </c>
      <c r="E10" s="19" t="inlineStr">
        <is>
          <t>All non-promoter, non-FII, non-DII categories combined; VERIFIED from the same FY26 statutory tables as the two rows above.</t>
        </is>
      </c>
    </row>
    <row r="11" ht="55" customHeight="1">
      <c r="A11" s="19" t="inlineStr">
        <is>
          <t>Free float (100% - promoter%)</t>
        </is>
      </c>
      <c r="B11" s="19" t="inlineStr">
        <is>
          <t>25.04% (= FII 11.73% + DII 3.65% + Public 9.66%, ties out exactly)</t>
        </is>
      </c>
      <c r="C11" s="19" t="inlineStr">
        <is>
          <t>53.14% (≈ FII 10.04% + Insurance 7.77% + MF/UTI 9.15% + Public 26.19% = 53.15%, rounding)</t>
        </is>
      </c>
      <c r="D11" s="19" t="inlineStr">
        <is>
          <t>48.91% (= FII 8.40% + DII 21.06% + Central/State Govt 8.35% + Public 11.10%, ties out exactly)</t>
        </is>
      </c>
      <c r="E11" s="19">
        <f> 100% - promoter%; now cross-checked line-by-line against the FII/DII/Public rows above for all three companies.</f>
        <v/>
      </c>
    </row>
    <row r="12" ht="55" customHeight="1">
      <c r="A12" s="19" t="inlineStr">
        <is>
          <t>Named shareholder(s) holding &gt;5%</t>
        </is>
      </c>
      <c r="B12" s="19"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9" t="inlineStr">
        <is>
          <t>Life Insurance Corporation of India (LIC) — 5.18% as at 31-Mar-2026 (up from 2.96% at 31-Mar-2025), crossing the 5% threshold during FY26 — VERIFIED from the FY26 Annual Report's 'shareholders holding more than 5%' table.</t>
        </is>
      </c>
      <c r="D12" s="19"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9" t="inlineStr">
        <is>
          <t>All three figures in this row are now VERIFIED from primary Annual Reports, replacing prior unconfirmed secondary-source claims.</t>
        </is>
      </c>
    </row>
    <row r="14">
      <c r="A14" s="9" t="inlineStr">
        <is>
          <t>Adani Power (target company) — Promoter detail as at 31-Mar-2026</t>
        </is>
      </c>
    </row>
    <row r="15">
      <c r="A15" s="10" t="inlineStr">
        <is>
          <t>Promoter entity</t>
        </is>
      </c>
      <c r="B15" s="10" t="inlineStr">
        <is>
          <t>No. of Shares</t>
        </is>
      </c>
      <c r="C15" s="10" t="inlineStr">
        <is>
          <t>% Holding</t>
        </is>
      </c>
      <c r="D15" s="10" t="inlineStr">
        <is>
          <t>% of THIS entity's shares pledged</t>
        </is>
      </c>
      <c r="E15" s="10" t="inlineStr">
        <is>
          <t>Notes</t>
        </is>
      </c>
    </row>
    <row r="16" ht="30" customHeight="1">
      <c r="A16" s="19" t="inlineStr">
        <is>
          <t>Gautambhai Shantilal Adani &amp; Rajeshbhai Shantilal Adani (on behalf of S.B. Adani Family Trust)</t>
        </is>
      </c>
      <c r="B16" s="33" t="n">
        <v>7108062265</v>
      </c>
      <c r="C16" s="34" t="n">
        <v>0.3686</v>
      </c>
      <c r="D16" s="34" t="n">
        <v>0.0368</v>
      </c>
      <c r="E16" s="19" t="inlineStr">
        <is>
          <t>Holds ALL of Adani Power's pledged shares (~261.5 million shares) — no other promoter or public shareholder has any pledge.</t>
        </is>
      </c>
    </row>
    <row r="17" ht="30" customHeight="1">
      <c r="A17" s="19" t="inlineStr">
        <is>
          <t>Flourishing Trade And Investment Ltd</t>
        </is>
      </c>
      <c r="B17" s="33" t="n">
        <v>2210933260</v>
      </c>
      <c r="C17" s="34" t="n">
        <v>0.1146</v>
      </c>
      <c r="D17" s="34" t="n">
        <v>0</v>
      </c>
      <c r="E17" s="19" t="inlineStr">
        <is>
          <t>Promoter (Foreign).</t>
        </is>
      </c>
    </row>
    <row r="18" ht="30" customHeight="1">
      <c r="A18" s="19" t="inlineStr">
        <is>
          <t>Adani Tradeline Private Limited</t>
        </is>
      </c>
      <c r="B18" s="33" t="n">
        <v>1993931925</v>
      </c>
      <c r="C18" s="34" t="n">
        <v>0.1034</v>
      </c>
      <c r="D18" s="34" t="n">
        <v>0</v>
      </c>
      <c r="E18" s="19" t="inlineStr">
        <is>
          <t>Promoter.</t>
        </is>
      </c>
    </row>
    <row r="19" ht="30" customHeight="1">
      <c r="A19" s="19" t="inlineStr">
        <is>
          <t>Emerging Market Investment DMCC</t>
        </is>
      </c>
      <c r="B19" s="33" t="n">
        <v>1299702000</v>
      </c>
      <c r="C19" s="34" t="n">
        <v>0.0674</v>
      </c>
      <c r="D19" s="34" t="n">
        <v>0</v>
      </c>
      <c r="E19" s="19" t="inlineStr">
        <is>
          <t>Promoter (Foreign).</t>
        </is>
      </c>
    </row>
    <row r="20" ht="35" customHeight="1">
      <c r="A20" s="16" t="inlineStr">
        <is>
          <t>No single non-promoter (public/institutional) shareholder individually crosses the 5% threshold. The largest non-promoter holders are Opal Investment Pvt Ltd (3.58%, classified as a public 'Foreign Company' shareholder — NOT part of the promoter group despite the name) and Goldman Sachs Trust II - Goldman Sachs GQG Partner (3.31%, FII).</t>
        </is>
      </c>
    </row>
    <row r="22">
      <c r="A22" s="9" t="inlineStr">
        <is>
          <t>Adani Power — Quarterly Trend: Promoter Holding &amp; Pledge, FII, Mutual Fund Holding (last 6 quarters)</t>
        </is>
      </c>
    </row>
    <row r="23">
      <c r="A23" s="10" t="inlineStr">
        <is>
          <t>Quarter-end</t>
        </is>
      </c>
      <c r="B23" s="10" t="inlineStr">
        <is>
          <t>Promoter Holding %</t>
        </is>
      </c>
      <c r="C23" s="10" t="inlineStr">
        <is>
          <t>Promoter Pledge % (of promoter's own holding)</t>
        </is>
      </c>
      <c r="D23" s="10" t="inlineStr">
        <is>
          <t>FII/FPI %</t>
        </is>
      </c>
      <c r="E23" s="10" t="inlineStr">
        <is>
          <t>Mutual Fund %</t>
        </is>
      </c>
      <c r="F23" s="10" t="inlineStr">
        <is>
          <t>No. of MF Schemes</t>
        </is>
      </c>
    </row>
    <row r="24">
      <c r="A24" s="11" t="inlineStr">
        <is>
          <t>Sep-2024</t>
        </is>
      </c>
      <c r="B24" s="34" t="n">
        <v>0.75</v>
      </c>
      <c r="C24" s="34" t="n">
        <v>0.0146</v>
      </c>
      <c r="D24" s="34" t="n">
        <v>0.127</v>
      </c>
      <c r="E24" s="34" t="n">
        <v>0.0151</v>
      </c>
      <c r="F24" s="11" t="inlineStr">
        <is>
          <t>n/a</t>
        </is>
      </c>
    </row>
    <row r="25">
      <c r="A25" s="11" t="inlineStr">
        <is>
          <t>Dec-2024</t>
        </is>
      </c>
      <c r="B25" s="34" t="n">
        <v>0.75</v>
      </c>
      <c r="C25" s="34" t="n">
        <v>0.0181</v>
      </c>
      <c r="D25" s="34" t="n">
        <v>0.123</v>
      </c>
      <c r="E25" s="34" t="n">
        <v>0.016</v>
      </c>
      <c r="F25" s="11" t="inlineStr">
        <is>
          <t>n/a</t>
        </is>
      </c>
    </row>
    <row r="26">
      <c r="A26" s="11" t="inlineStr">
        <is>
          <t>Mar-2025</t>
        </is>
      </c>
      <c r="B26" s="34" t="n">
        <v>0.75</v>
      </c>
      <c r="C26" s="34" t="n">
        <v>0.0181</v>
      </c>
      <c r="D26" s="34" t="n">
        <v>0.124</v>
      </c>
      <c r="E26" s="34" t="n">
        <v>0.0164</v>
      </c>
      <c r="F26" s="11" t="inlineStr">
        <is>
          <t>n/a</t>
        </is>
      </c>
    </row>
    <row r="27">
      <c r="A27" s="11" t="inlineStr">
        <is>
          <t>Jun-2025</t>
        </is>
      </c>
      <c r="B27" s="34" t="n">
        <v>0.75</v>
      </c>
      <c r="C27" s="34" t="n">
        <v>0.0181</v>
      </c>
      <c r="D27" s="34" t="n">
        <v>0.125</v>
      </c>
      <c r="E27" s="34" t="n">
        <v>0.0176</v>
      </c>
      <c r="F27" s="11" t="inlineStr">
        <is>
          <t>n/a</t>
        </is>
      </c>
    </row>
    <row r="28">
      <c r="A28" s="11" t="inlineStr">
        <is>
          <t>Sep-2025</t>
        </is>
      </c>
      <c r="B28" s="34" t="n">
        <v>0.75</v>
      </c>
      <c r="C28" s="34" t="n">
        <v>0.0181</v>
      </c>
      <c r="D28" s="34" t="n">
        <v>0.115</v>
      </c>
      <c r="E28" s="34" t="n">
        <v>0.0269</v>
      </c>
      <c r="F28" s="11" t="n">
        <v>27</v>
      </c>
    </row>
    <row r="29">
      <c r="A29" s="11" t="inlineStr">
        <is>
          <t>Dec-2025</t>
        </is>
      </c>
      <c r="B29" s="34" t="n">
        <v>0.75</v>
      </c>
      <c r="C29" s="34" t="n">
        <v>0.0181</v>
      </c>
      <c r="D29" s="34" t="n">
        <v>0.116</v>
      </c>
      <c r="E29" s="34" t="n">
        <v>0.0339</v>
      </c>
      <c r="F29" s="11" t="n">
        <v>27</v>
      </c>
    </row>
    <row r="30">
      <c r="A30" s="11" t="inlineStr">
        <is>
          <t>Mar-2026</t>
        </is>
      </c>
      <c r="B30" s="34" t="n">
        <v>0.7496</v>
      </c>
      <c r="C30" s="34" t="n">
        <v>0.0181</v>
      </c>
      <c r="D30" s="34" t="n">
        <v>0.1173</v>
      </c>
      <c r="E30" s="34" t="n">
        <v>0.0362</v>
      </c>
      <c r="F30" s="11" t="n">
        <v>30</v>
      </c>
    </row>
    <row r="31">
      <c r="A31" s="2" t="inlineStr">
        <is>
          <t>Change in Mutual Fund holding — last 6 months (Sep-2025 → Mar-2026)</t>
        </is>
      </c>
      <c r="E31" s="35">
        <f>E30-E28</f>
        <v/>
      </c>
    </row>
    <row r="32">
      <c r="A32" s="2" t="inlineStr">
        <is>
          <t>Relative % increase in MF holding over last 6 months</t>
        </is>
      </c>
      <c r="E32" s="23">
        <f>E30/E28-1</f>
        <v/>
      </c>
    </row>
    <row r="34">
      <c r="A34" s="20" t="inlineStr">
        <is>
          <t>Comments (Adani Power shareholding trend)</t>
        </is>
      </c>
    </row>
    <row r="35" ht="140" customHeight="1">
      <c r="A35" s="14" t="inlineStr">
        <is>
          <t>Mutual Fund holding in Adani Power has risen sharply and consistently — more than doubling from 1.60% (Dec-2024) to 3.62% (Mar-2026), with the increase accelerating markedly in the most recent two quarters (2.69% → 3.39% → 3.62%). Over just the last six months (Sep-2025 to Mar-2026) MF holding rose by ~0.93 percentage points (a ~35% relative increase, computed live above), and the number of MF schemes holding the stock grew from 27 to 30. The two largest individual MF holders are SBI Equity Hybrid Fund (1.77%) and Quant Mutual Fund - Quant ELSS Tax Saver Fund (1.23%), together accounting for the bulk of total MF ownership. In contrast, FII/FPI holding has been comparatively flat-to-declining over the same window (12.5% in Jun-2025 down to 11.5-11.7% by Mar-2026), and promoter holding has been stable at ~75% throughout, with the pledge held steady at 1.81% of promoter holding (i.e. no new pledge created and none released) for at least five consecutive quarters. Overall, the shareholder-base shift over the last six months is best characterised as domestic mutual funds steadily buying in while FIIs modestly reduce, against an unchanged, largely-unpledged promoter base. SOURCE: quarterly shareholding pattern data as filed with BSE/NSE under SEBI (LODR) Regulations, 2015, compiled via Trendlyne.com (trendlyne.com/equity/share-holding/28/ADANIPOWER), cross-checked against Adani Power's FY25-26 Annual Report figures for Mar-2026 (which matched exactly: 74.96% promoter, 11.73% FII, 3.62% MF). This is Adani-specific detail only (the target company) — Tata Power and Torrent Power's quarterly trend and named-promoter detail were not pulled to the same depth in this pass.</t>
        </is>
      </c>
    </row>
    <row r="36"/>
    <row r="37"/>
    <row r="38"/>
    <row r="39"/>
    <row r="40"/>
    <row r="43">
      <c r="A43" s="9" t="inlineStr">
        <is>
          <t>Comments</t>
        </is>
      </c>
    </row>
    <row r="44" ht="100" customHeight="1">
      <c r="A44"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45"/>
    <row r="46"/>
    <row r="47"/>
    <row r="48"/>
    <row r="49"/>
    <row r="50"/>
  </sheetData>
  <mergeCells count="5">
    <mergeCell ref="A20:E20"/>
    <mergeCell ref="A2:E2"/>
    <mergeCell ref="A1:E1"/>
    <mergeCell ref="A35:F40"/>
    <mergeCell ref="A44:E5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8" t="inlineStr">
        <is>
          <t>Segment Revenue — Power Generation</t>
        </is>
      </c>
      <c r="B7" s="11" t="n">
        <v>27221.78</v>
      </c>
      <c r="C7" s="11" t="n">
        <v>37895.85</v>
      </c>
      <c r="D7" s="11" t="n">
        <v>50014.16</v>
      </c>
      <c r="E7" s="11" t="n">
        <v>56107.06</v>
      </c>
      <c r="F7" s="11" t="n">
        <v>54240.52</v>
      </c>
    </row>
    <row r="8">
      <c r="A8" s="18" t="inlineStr">
        <is>
          <t>Segment Revenue — Trading/Investment/Other</t>
        </is>
      </c>
      <c r="B8" s="11" t="n">
        <v>489.4</v>
      </c>
      <c r="C8" s="11" t="n">
        <v>877.45</v>
      </c>
      <c r="D8" s="11" t="n">
        <v>337.09</v>
      </c>
      <c r="E8" s="11" t="n">
        <v>96.03</v>
      </c>
      <c r="F8" s="11" t="n">
        <v>0</v>
      </c>
    </row>
    <row r="9">
      <c r="A9" s="18" t="inlineStr">
        <is>
          <t>Segment Results — Power Generation</t>
        </is>
      </c>
      <c r="B9" s="11" t="n">
        <v>6571.37</v>
      </c>
      <c r="C9" s="11" t="n">
        <v>6957.13</v>
      </c>
      <c r="D9" s="11" t="n">
        <v>20557.22</v>
      </c>
      <c r="E9" s="11" t="n">
        <v>16540.39</v>
      </c>
      <c r="F9" s="11" t="n">
        <v>15757.55</v>
      </c>
    </row>
    <row r="10">
      <c r="A10" s="18" t="inlineStr">
        <is>
          <t>Segment Results — Trading/Investment/Other</t>
        </is>
      </c>
      <c r="B10" s="11" t="n">
        <v>5.76</v>
      </c>
      <c r="C10" s="11" t="n">
        <v>717.5700000000001</v>
      </c>
      <c r="D10" s="11" t="n">
        <v>234.29</v>
      </c>
      <c r="E10" s="11" t="n">
        <v>-1.81</v>
      </c>
      <c r="F10" s="11" t="n">
        <v>13.68</v>
      </c>
    </row>
    <row r="11">
      <c r="A11" s="18" t="inlineStr">
        <is>
          <t>Segment Assets — Power Generation</t>
        </is>
      </c>
      <c r="B11" s="11" t="n">
        <v>81888.09</v>
      </c>
      <c r="C11" s="11" t="n">
        <v>84364.22</v>
      </c>
      <c r="D11" s="11" t="n">
        <v>91378.85000000001</v>
      </c>
      <c r="E11" s="11" t="n">
        <v>111162.48</v>
      </c>
      <c r="F11" s="11" t="n">
        <v>139777.31</v>
      </c>
    </row>
    <row r="12">
      <c r="A12" s="18"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8" t="inlineStr">
        <is>
          <t>Segment Revenue — Generation/Thermal &amp; Hydro</t>
        </is>
      </c>
      <c r="B17" s="11" t="n">
        <v>11211.03</v>
      </c>
      <c r="C17" s="11" t="n">
        <v>18211.35</v>
      </c>
      <c r="D17" s="11" t="n">
        <v>19613.61</v>
      </c>
      <c r="E17" s="11" t="n">
        <v>19739.07</v>
      </c>
      <c r="F17" s="11" t="n">
        <v>11635.93</v>
      </c>
    </row>
    <row r="18">
      <c r="A18" s="18" t="inlineStr">
        <is>
          <t>Segment Revenue — Renewables</t>
        </is>
      </c>
      <c r="B18" s="11" t="n">
        <v>7748.9</v>
      </c>
      <c r="C18" s="11" t="n">
        <v>8196.91</v>
      </c>
      <c r="D18" s="11" t="n">
        <v>10175.29</v>
      </c>
      <c r="E18" s="11" t="n">
        <v>9876.360000000001</v>
      </c>
      <c r="F18" s="11" t="n">
        <v>15027.82</v>
      </c>
    </row>
    <row r="19">
      <c r="A19" s="18" t="inlineStr">
        <is>
          <t>Segment Revenue — Transmission &amp; Distribution</t>
        </is>
      </c>
      <c r="B19" s="11" t="n">
        <v>27493.17</v>
      </c>
      <c r="C19" s="11" t="n">
        <v>34529.36</v>
      </c>
      <c r="D19" s="11" t="n">
        <v>36205.82</v>
      </c>
      <c r="E19" s="11" t="n">
        <v>39120.52</v>
      </c>
      <c r="F19" s="11" t="n">
        <v>41338.59</v>
      </c>
    </row>
    <row r="20">
      <c r="A20" s="18" t="inlineStr">
        <is>
          <t>Segment Revenue — Others</t>
        </is>
      </c>
      <c r="B20" s="11" t="n">
        <v>317.8</v>
      </c>
      <c r="C20" s="11" t="n">
        <v>413.56</v>
      </c>
      <c r="D20" s="11" t="n">
        <v>430.62</v>
      </c>
      <c r="E20" s="11" t="n">
        <v>431.04</v>
      </c>
      <c r="F20" s="11" t="n">
        <v>431.79</v>
      </c>
    </row>
    <row r="21">
      <c r="A21" s="18" t="inlineStr">
        <is>
          <t>Segment Results — Generation/Thermal &amp; Hydro</t>
        </is>
      </c>
      <c r="B21" s="11" t="n">
        <v>2632.75</v>
      </c>
      <c r="C21" s="11" t="n">
        <v>5092.16</v>
      </c>
      <c r="D21" s="11" t="n">
        <v>2569.61</v>
      </c>
      <c r="E21" s="11" t="n">
        <v>2878.91</v>
      </c>
      <c r="F21" s="11" t="n">
        <v>1137.94</v>
      </c>
    </row>
    <row r="22">
      <c r="A22" s="18" t="inlineStr">
        <is>
          <t>Segment Results — Renewables</t>
        </is>
      </c>
      <c r="B22" s="11" t="n">
        <v>1923.57</v>
      </c>
      <c r="C22" s="11" t="n">
        <v>1932.01</v>
      </c>
      <c r="D22" s="11" t="n">
        <v>2147.1</v>
      </c>
      <c r="E22" s="11" t="n">
        <v>2880.68</v>
      </c>
      <c r="F22" s="11" t="n">
        <v>4340.93</v>
      </c>
    </row>
    <row r="23">
      <c r="A23" s="18" t="inlineStr">
        <is>
          <t>Segment Results — Transmission &amp; Distribution</t>
        </is>
      </c>
      <c r="B23" s="11" t="n">
        <v>2138.49</v>
      </c>
      <c r="C23" s="11" t="n">
        <v>2197.68</v>
      </c>
      <c r="D23" s="11" t="n">
        <v>2418.22</v>
      </c>
      <c r="E23" s="11" t="n">
        <v>3128.27</v>
      </c>
      <c r="F23" s="11" t="n">
        <v>4307.95</v>
      </c>
    </row>
    <row r="24">
      <c r="A24" s="18" t="inlineStr">
        <is>
          <t>Segment Results — Others</t>
        </is>
      </c>
      <c r="B24" s="11" t="n">
        <v>-286.03</v>
      </c>
      <c r="C24" s="11" t="n">
        <v>-308.17</v>
      </c>
      <c r="D24" s="11" t="n">
        <v>105.38</v>
      </c>
      <c r="E24" s="11" t="n">
        <v>112.8</v>
      </c>
      <c r="F24" s="11" t="n">
        <v>104.72</v>
      </c>
    </row>
    <row r="25">
      <c r="A25" s="18" t="inlineStr">
        <is>
          <t>Segment Assets — Generation/Thermal &amp; Hydro</t>
        </is>
      </c>
      <c r="B25" s="11" t="n">
        <v>38201.93</v>
      </c>
      <c r="C25" s="11" t="n">
        <v>41201.04</v>
      </c>
      <c r="D25" s="11" t="n">
        <v>39315.88</v>
      </c>
      <c r="E25" s="11" t="n">
        <v>39708.11</v>
      </c>
      <c r="F25" s="11" t="n">
        <v>41697.31</v>
      </c>
    </row>
    <row r="26">
      <c r="A26" s="18" t="inlineStr">
        <is>
          <t>Segment Assets — Renewables</t>
        </is>
      </c>
      <c r="B26" s="11" t="n">
        <v>27589.28</v>
      </c>
      <c r="C26" s="11" t="n">
        <v>29744.49</v>
      </c>
      <c r="D26" s="11" t="n">
        <v>40459.25</v>
      </c>
      <c r="E26" s="11" t="n">
        <v>51355.61</v>
      </c>
      <c r="F26" s="11" t="n">
        <v>56921.28</v>
      </c>
    </row>
    <row r="27">
      <c r="A27" s="18" t="inlineStr">
        <is>
          <t>Segment Assets — Transmission &amp; Distribution</t>
        </is>
      </c>
      <c r="B27" s="11" t="n">
        <v>32411.34</v>
      </c>
      <c r="C27" s="11" t="n">
        <v>37477.26</v>
      </c>
      <c r="D27" s="11" t="n">
        <v>42059.9</v>
      </c>
      <c r="E27" s="11" t="n">
        <v>45707.75</v>
      </c>
      <c r="F27" s="11" t="n">
        <v>53428.87</v>
      </c>
    </row>
    <row r="28">
      <c r="A28" s="18"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Generation, Transmission &amp; Distribution, Renewables (reportable from FY23-24 onward)</t>
        </is>
      </c>
    </row>
    <row r="32" ht="100" customHeight="1">
      <c r="A32" s="14" t="inlineStr">
        <is>
          <t>VERIFIED CORRECTION: an earlier pass of this workbook found Torrent Power to have 'no reportable segments,' sourced from the FY22-23 Annual Report's Operating Segments note, which is genuinely correct FOR THAT YEAR — Note 53/54 of the FY22-23 AR states "the Group does not have any reportable segment as per Ind AS-108". However, the FY23-24 Annual Report's Note 52 explicitly states: "During the current year, in line with the reassessment for reporting financial information to the entity's chief operating decision maker (CODM), the Group has presented its segment information..." — i.e. Torrent Power's CODM reassessed segment reportability and started disclosing THREE segments (Generation, Transmission &amp; Distribution, Renewables) from FY23-24 onward, most likely because Renewables crossed the Ind AS 108 materiality threshold as it scaled. This is confirmed in the FY24-25 and FY25-26 Annual Reports too (same three segments, same wording). Only FY24-FY26 segment-level data is therefore available (no FY22/FY23 comparative, since no segment note existed then).</t>
        </is>
      </c>
    </row>
    <row r="33"/>
    <row r="34"/>
    <row r="35"/>
    <row r="36"/>
    <row r="38">
      <c r="A38" s="9" t="inlineStr">
        <is>
          <t>TORRENT POWER — Segment Trend, FY24-FY26 (Consolidated)</t>
        </is>
      </c>
    </row>
    <row r="39">
      <c r="A39" s="10" t="inlineStr">
        <is>
          <t>Particulars</t>
        </is>
      </c>
      <c r="B39" s="10" t="inlineStr">
        <is>
          <t>FY24</t>
        </is>
      </c>
      <c r="C39" s="10" t="inlineStr">
        <is>
          <t>FY25</t>
        </is>
      </c>
      <c r="D39" s="10" t="inlineStr">
        <is>
          <t>FY26</t>
        </is>
      </c>
    </row>
    <row r="40">
      <c r="A40" s="18" t="inlineStr">
        <is>
          <t>Segment Revenue — Generation</t>
        </is>
      </c>
      <c r="B40" s="11" t="n">
        <v>7978.69</v>
      </c>
      <c r="C40" s="11" t="n">
        <v>8180.99</v>
      </c>
      <c r="D40" s="11" t="n">
        <v>7585.36</v>
      </c>
    </row>
    <row r="41">
      <c r="A41" s="18" t="inlineStr">
        <is>
          <t>Segment Revenue — Transmission &amp; Distribution</t>
        </is>
      </c>
      <c r="B41" s="11" t="n">
        <v>24391.25</v>
      </c>
      <c r="C41" s="11" t="n">
        <v>25178.12</v>
      </c>
      <c r="D41" s="11" t="n">
        <v>24764.42</v>
      </c>
    </row>
    <row r="42">
      <c r="A42" s="18" t="inlineStr">
        <is>
          <t>Segment Revenue — Renewables</t>
        </is>
      </c>
      <c r="B42" s="11" t="n">
        <v>1149.92</v>
      </c>
      <c r="C42" s="11" t="n">
        <v>1066.3</v>
      </c>
      <c r="D42" s="11" t="n">
        <v>1241.14</v>
      </c>
    </row>
    <row r="43">
      <c r="A43" s="18" t="inlineStr">
        <is>
          <t>Segment Results — Generation</t>
        </is>
      </c>
      <c r="B43" s="11" t="n">
        <v>1147.5</v>
      </c>
      <c r="C43" s="11" t="n">
        <v>1563.1</v>
      </c>
      <c r="D43" s="11" t="n">
        <v>1319.73</v>
      </c>
    </row>
    <row r="44">
      <c r="A44" s="18" t="inlineStr">
        <is>
          <t>Segment Results — Transmission &amp; Distribution</t>
        </is>
      </c>
      <c r="B44" s="11" t="n">
        <v>2871.57</v>
      </c>
      <c r="C44" s="11" t="n">
        <v>3359.68</v>
      </c>
      <c r="D44" s="11" t="n">
        <v>3792.8</v>
      </c>
    </row>
    <row r="45">
      <c r="A45" s="18" t="inlineStr">
        <is>
          <t>Segment Results — Renewables</t>
        </is>
      </c>
      <c r="B45" s="11" t="n">
        <v>1001.65</v>
      </c>
      <c r="C45" s="11" t="n">
        <v>887.22</v>
      </c>
      <c r="D45" s="11" t="n">
        <v>1012.42</v>
      </c>
    </row>
    <row r="46">
      <c r="A46" s="18" t="inlineStr">
        <is>
          <t>Segment Assets — Generation</t>
        </is>
      </c>
      <c r="B46" s="11" t="n">
        <v>4806</v>
      </c>
      <c r="C46" s="11" t="n">
        <v>4272.59</v>
      </c>
      <c r="D46" s="11" t="n">
        <v>4425.56</v>
      </c>
    </row>
    <row r="47">
      <c r="A47" s="18" t="inlineStr">
        <is>
          <t>Segment Assets — Transmission &amp; Distribution</t>
        </is>
      </c>
      <c r="B47" s="11" t="n">
        <v>20169.02</v>
      </c>
      <c r="C47" s="11" t="n">
        <v>21503.5</v>
      </c>
      <c r="D47" s="11" t="n">
        <v>22202.29</v>
      </c>
    </row>
    <row r="48">
      <c r="A48" s="18" t="inlineStr">
        <is>
          <t>Segment Assets — Renewables</t>
        </is>
      </c>
      <c r="B48" s="11" t="n">
        <v>8073.37</v>
      </c>
      <c r="C48" s="11" t="n">
        <v>11786.11</v>
      </c>
      <c r="D48" s="11" t="n">
        <v>17110.96</v>
      </c>
    </row>
    <row r="49">
      <c r="A49" s="18" t="inlineStr">
        <is>
          <t>Profit Before Tax — Generation</t>
        </is>
      </c>
      <c r="B49" s="11" t="n">
        <v>1126.42</v>
      </c>
      <c r="C49" s="11" t="inlineStr">
        <is>
          <t>N/A</t>
        </is>
      </c>
      <c r="D49" s="11" t="n">
        <v>1011.37</v>
      </c>
    </row>
    <row r="50">
      <c r="A50" s="18" t="inlineStr">
        <is>
          <t>Profit Before Tax — Transmission &amp; Distribution</t>
        </is>
      </c>
      <c r="B50" s="11" t="n">
        <v>1779.19</v>
      </c>
      <c r="C50" s="11" t="inlineStr">
        <is>
          <t>N/A</t>
        </is>
      </c>
      <c r="D50" s="11" t="n">
        <v>2177.01</v>
      </c>
    </row>
    <row r="51">
      <c r="A51" s="18" t="inlineStr">
        <is>
          <t>Profit Before Tax — Renewables</t>
        </is>
      </c>
      <c r="B51" s="11" t="n">
        <v>105.81</v>
      </c>
      <c r="C51" s="11" t="inlineStr">
        <is>
          <t>N/A</t>
        </is>
      </c>
      <c r="D51" s="11" t="n">
        <v>114.19</v>
      </c>
    </row>
    <row r="52" ht="40" customHeight="1">
      <c r="A52" s="12" t="inlineStr">
        <is>
          <t>Revenue/Results/Assets from Note 52/53/54 'Operating Segments', Torrent Power Consolidated Financial Statements, AR FY23-24 (FY24 col.)/FY24-25 (FY25 col.)/FY25-26 (FY26 col.). Segment PBT (a separate reconciliation line in the same note) was not cleanly extractable for FY25 in this pass — flagged N/A rather than estimated. Revenue shown gross before inter-segment eliminations; T&amp;D also included the Power Cable business up to 16-Oct-2024 (since divested/discontinued).</t>
        </is>
      </c>
    </row>
    <row r="54">
      <c r="A54" s="9" t="inlineStr">
        <is>
          <t>Segment growth rate vs. industry growth rate</t>
        </is>
      </c>
    </row>
    <row r="55" ht="65" customHeight="1">
      <c r="A55" s="14" t="inlineStr">
        <is>
          <t>Industry growth benchmarks (India, per CEA/CREA data, most recent available): overall electricity generation growth slowed to just ~3% YoY in Q4 FY26 (slowest in six years); renewable electricity generation grew ~20% in calendar 2025 (solar +24%, wind +11-28%); coal-fired generation actually FELL ~3.2% in 2025 amid muted demand growth and renewable curtailment pressures (≈27 GW solar and ≈4 GW wind directly curtailed in Q4 FY26 alone). Renewables' share of India's generation mix rose from 22.06% (FY25) to 25.86% (FY26).</t>
        </is>
      </c>
    </row>
    <row r="56"/>
    <row r="57"/>
    <row r="59">
      <c r="A59" s="9" t="inlineStr">
        <is>
          <t>Comparative analysis — who is doing well in which segment?</t>
        </is>
      </c>
    </row>
    <row r="60" ht="130" customHeight="1">
      <c r="A60" s="14" t="inlineStr">
        <is>
          <t>GENERATION (comparable across all three — Adani Power's whole business, Tata Power's 'Thermal &amp; Hydro', Torrent's 'Generation'): Adani Power's generation revenue grew explosively in FY23-FY24 (+39.2%, +32.0%) as newly acquired/commissioned capacity ramped up — far outpacing the other two and the broader industry — before decelerating sharply to +12.2% (FY25) and turning NEGATIVE -3.3% (FY26). Torrent's Generation segment also declined -7.3% in FY26 (after a modest +2.5% in FY25). Tata Power's Thermal &amp; Hydro segment was essentially flat (+0.6%) FY24→FY25. All three companies' generation growth has converged toward — or fallen below — the industry-wide ~3% generation growth rate and the outright decline in coal generation, consistent with the sector-wide pattern of renewables displacing thermal dispatch. On PROFITABILITY, Adani Power's Generation segment is far larger in absolute PBT (₹15,757.55 Cr FY26) than either peer's comparable segment, reflecting its much larger scale, though its margin trajectory has also decelerated in step with revenue.</t>
        </is>
      </c>
    </row>
    <row r="61"/>
    <row r="62"/>
    <row r="63"/>
    <row r="65" ht="130" customHeight="1">
      <c r="A65" s="14" t="inlineStr">
        <is>
          <t>TRANSMISSION &amp; DISTRIBUTION (Tata Power vs. Torrent Power only — Adani Power has no T&amp;D segment): Tata Power's T&amp;D segment grew revenue +8.1% (FY24→FY25), notably faster than Torrent's +3.2% (FY24→FY25), and Torrent's T&amp;D revenue then DECLINED -1.6% in FY26. On segment RESULTS (profit), however, Torrent's T&amp;D segment results grew faster in relative terms — from ₹2,871.57 Cr (FY24) to ₹3,792.80 Cr (FY26), a ~32% cumulative increase over two years — versus Tata Power's T&amp;D results growing from ₹2,418.22 Cr (FY24) to ₹4,307.95 Cr (FY26), roughly ~78% cumulative. Tata Power's T&amp;D segment is also larger in absolute segment assets (₹53,428.87 Cr FY26 vs Torrent's ₹22,202.29 Cr), consistent with Tata Power's much larger discom footprint (Mumbai, Delhi JV, Odisha, Ajmer) versus Torrent's more concentrated Ahmedabad/Surat/Bhiwandi/Agra franchise areas. On a PROFIT-TO-ASSETS basis, though, Torrent's T&amp;D segment is notably more capital-efficient (segment results ~17% of segment assets in FY26, vs. Tata Power's ~8%).</t>
        </is>
      </c>
    </row>
    <row r="66"/>
    <row r="67"/>
    <row r="68"/>
    <row r="70" ht="130" customHeight="1">
      <c r="A70" s="14" t="inlineStr">
        <is>
          <t>RENEWABLES (Tata Power vs. Torrent Power only): the most dynamic segment for both peers. Tata Power's renewables SEGMENT ASSETS are far larger in absolute terms (₹56,921.28 Cr FY26) but grew only +10.8% (FY25→FY26); Torrent's renewables segment assets, while much smaller in absolute terms, grew far FASTER in relative terms — +46.0% (FY24→FY25) and +45.2% (FY25→FY26), more than doubling over two years (₹8,073 Cr → ₹17,111 Cr) — indicating Torrent is scaling its renewables capacity much more aggressively on a percentage basis, even as Tata Power remains the larger renewables player overall. On REVENUE, both companies' renewables segments actually underperformed the ~20-24% industry-wide renewable generation growth rate: Tata Power's renewables revenue DECLINED -2.9% (FY24→FY25) while Torrent's swung from -7.3% (FY25) to +16.4% (FY26) — the latter closer to, but still short of, the industry benchmark. This gap between strong ASSET/capacity growth and weaker REVENUE growth across both companies is consistent with the industry-wide renewable curtailment problem flagged by CREA (solar/wind capacity growing faster than the grid's ability to absorb and pay for that generation).</t>
        </is>
      </c>
    </row>
    <row r="71"/>
    <row r="72"/>
    <row r="73"/>
    <row r="75" ht="130" customHeight="1">
      <c r="A75" s="14" t="inlineStr">
        <is>
          <t>OVERALL: Torrent Power is the standout performer on relative (percentage) growth and capital efficiency across segments — especially in scaling Renewables assets — despite being the smallest of the three companies in absolute scale. Tata Power remains the largest and most diversified generator-cum-distributor, with the largest absolute Renewables and T&amp;D asset bases, but slower relative growth in the most recent year. Adani Power's single dominant Generation segment shows the most dramatic historical growth (driven by acquisitions) but is now the most exposed to the industry-wide deceleration in thermal generation, having no T&amp;D or standalone Renewables segment to diversify into for now.</t>
        </is>
      </c>
    </row>
    <row r="76"/>
    <row r="77"/>
    <row r="78"/>
  </sheetData>
  <mergeCells count="11">
    <mergeCell ref="A75:H78"/>
    <mergeCell ref="A70:H73"/>
    <mergeCell ref="A65:H68"/>
    <mergeCell ref="A29:H29"/>
    <mergeCell ref="A60:H63"/>
    <mergeCell ref="A2:H2"/>
    <mergeCell ref="A55:H57"/>
    <mergeCell ref="A52:H52"/>
    <mergeCell ref="A13:H13"/>
    <mergeCell ref="A32:H36"/>
    <mergeCell ref="A1:H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c r="F1" t="inlineStr">
        <is>
          <t>Torrent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c r="F4" t="n">
        <v>7978.69</v>
      </c>
    </row>
    <row r="5">
      <c r="A5" t="inlineStr">
        <is>
          <t>FY25</t>
        </is>
      </c>
      <c r="B5" t="n">
        <v>19739.07</v>
      </c>
      <c r="C5" t="n">
        <v>9876.360000000001</v>
      </c>
      <c r="D5" t="n">
        <v>39120.52</v>
      </c>
      <c r="E5" t="n">
        <v>56107.06</v>
      </c>
      <c r="F5" t="n">
        <v>8180.99</v>
      </c>
    </row>
    <row r="6">
      <c r="A6" t="inlineStr">
        <is>
          <t>FY26</t>
        </is>
      </c>
      <c r="B6" t="n">
        <v>11635.93</v>
      </c>
      <c r="C6" t="n">
        <v>15027.82</v>
      </c>
      <c r="D6" t="n">
        <v>41338.59</v>
      </c>
      <c r="E6" t="n">
        <v>54240.52</v>
      </c>
      <c r="F6" t="n">
        <v>7585.36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9" t="inlineStr">
        <is>
          <t>Adani Power</t>
        </is>
      </c>
      <c r="B6" s="19" t="inlineStr">
        <is>
          <t>Mahan Energen Ltd (MEL)</t>
        </is>
      </c>
      <c r="C6" s="19" t="inlineStr">
        <is>
          <t>94% (per FY26 AOC-1 — earlier reported as 100%)</t>
        </is>
      </c>
      <c r="D6" s="19" t="inlineStr">
        <is>
          <t>1,200+ MW coal thermal, MP; ex-Essar Power MP (CIRP, Mar 2022). FY26: turnover ₹3,614cr, PAT ₹784cr.</t>
        </is>
      </c>
    </row>
    <row r="7" ht="45" customHeight="1">
      <c r="A7" s="19" t="inlineStr">
        <is>
          <t>Adani Power</t>
        </is>
      </c>
      <c r="B7" s="19" t="inlineStr">
        <is>
          <t>Korba Power Ltd (KPL, ex-Lanco Amarkantak)</t>
        </is>
      </c>
      <c r="C7" s="19" t="inlineStr">
        <is>
          <t>100%</t>
        </is>
      </c>
      <c r="D7" s="19" t="inlineStr">
        <is>
          <t>600 MW coal thermal, Chhattisgarh (CIRP, Sep 2024). FY26: turnover ₹1,552cr, PAT ₹354cr.</t>
        </is>
      </c>
    </row>
    <row r="8" ht="45" customHeight="1">
      <c r="A8" s="19" t="inlineStr">
        <is>
          <t>Adani Power</t>
        </is>
      </c>
      <c r="B8" s="19" t="inlineStr">
        <is>
          <t>Moxie Power Generation Ltd (ex-Coastal Energen)</t>
        </is>
      </c>
      <c r="C8" s="19" t="inlineStr">
        <is>
          <t>49% — but consolidated as a SUBSIDIARY in AOC-1 Part A (control basis), not a JV</t>
        </is>
      </c>
      <c r="D8" s="19" t="inlineStr">
        <is>
          <t>1,200 MW, Thoothukudi, Tamil Nadu. FY26: turnover ₹2,985cr, PAT ₹268cr. Listed in AOC-1 subsidiaries despite 49% equity — control established via arrangement with DAIT.</t>
        </is>
      </c>
    </row>
    <row r="9" ht="45" customHeight="1">
      <c r="A9" s="19" t="inlineStr">
        <is>
          <t>Adani Power</t>
        </is>
      </c>
      <c r="B9" s="19" t="inlineStr">
        <is>
          <t>Vidarbha Industries Power Ltd (VIPL)</t>
        </is>
      </c>
      <c r="C9" s="19" t="inlineStr">
        <is>
          <t>100% (acquired 07-Jul-2025)</t>
        </is>
      </c>
      <c r="D9" s="19" t="inlineStr">
        <is>
          <t>600 MW, Nagpur (CIRP). FY26: turnover ₹1,327cr, PAT ₹347cr.</t>
        </is>
      </c>
    </row>
    <row r="10" ht="45" customHeight="1">
      <c r="A10" s="19" t="inlineStr">
        <is>
          <t>Adani Power</t>
        </is>
      </c>
      <c r="B10" s="19" t="inlineStr">
        <is>
          <t>Adani Power Dahej Ltd / Pench Thermal Energy (MP) Ltd / Kutchh Power Generation Ltd</t>
        </is>
      </c>
      <c r="C10" s="19" t="inlineStr">
        <is>
          <t>100% each</t>
        </is>
      </c>
      <c r="D10" s="19" t="inlineStr">
        <is>
          <t>Greenfield thermal project SPVs (Dahej, Pench, Kutchh).</t>
        </is>
      </c>
    </row>
    <row r="11" ht="45" customHeight="1">
      <c r="A11" s="19" t="inlineStr">
        <is>
          <t>Adani Power</t>
        </is>
      </c>
      <c r="B11" s="19" t="inlineStr">
        <is>
          <t>Anuppur Thermal Energy (MP) / Mirzapur Thermal Energy (UP) / Orrisa Thermal Energy</t>
        </is>
      </c>
      <c r="C11" s="19" t="inlineStr">
        <is>
          <t>100% each (acquired/renamed 2024)</t>
        </is>
      </c>
      <c r="D11" s="19" t="inlineStr">
        <is>
          <t>New thermal project SPVs for capacity expansion (Anuppur, Mirzapur, Odisha sites).</t>
        </is>
      </c>
    </row>
    <row r="12" ht="45" customHeight="1">
      <c r="A12" s="19" t="inlineStr">
        <is>
          <t>Adani Power</t>
        </is>
      </c>
      <c r="B12" s="19" t="inlineStr">
        <is>
          <t>Mahan Fuel Management / Resurgent Fuel Management Ltd</t>
        </is>
      </c>
      <c r="C12" s="19" t="inlineStr">
        <is>
          <t>100% each</t>
        </is>
      </c>
      <c r="D12" s="19" t="inlineStr">
        <is>
          <t>Fuel sourcing/management SPVs.</t>
        </is>
      </c>
    </row>
    <row r="13" ht="45" customHeight="1">
      <c r="A13" s="19" t="inlineStr">
        <is>
          <t>Adani Power</t>
        </is>
      </c>
      <c r="B13" s="19" t="inlineStr">
        <is>
          <t>Alcedo / Chandenvalle / Emberiza Infra Park Ltd</t>
        </is>
      </c>
      <c r="C13" s="19" t="inlineStr">
        <is>
          <t>100% each</t>
        </is>
      </c>
      <c r="D13" s="19" t="inlineStr">
        <is>
          <t>Infrastructure park SPVs.</t>
        </is>
      </c>
    </row>
    <row r="14" ht="45" customHeight="1">
      <c r="A14" s="19" t="inlineStr">
        <is>
          <t>Adani Power</t>
        </is>
      </c>
      <c r="B14" s="19" t="inlineStr">
        <is>
          <t>Adani Atomic Energy Ltd (AAEL)</t>
        </is>
      </c>
      <c r="C14" s="19" t="inlineStr">
        <is>
          <t>100% (incorporated 11-Feb-2026)</t>
        </is>
      </c>
      <c r="D14" s="19" t="inlineStr">
        <is>
          <t>Nuclear power entry post SHANTI Act 2025.</t>
        </is>
      </c>
    </row>
    <row r="15" ht="45" customHeight="1">
      <c r="A15" s="19" t="inlineStr">
        <is>
          <t>Adani Power</t>
        </is>
      </c>
      <c r="B15" s="19" t="inlineStr">
        <is>
          <t>Adani Power Middle East Ltd (AED) / Adani Power Global Pte Ltd (US$)</t>
        </is>
      </c>
      <c r="C15" s="19" t="inlineStr">
        <is>
          <t>100% each (incorporated 2024)</t>
        </is>
      </c>
      <c r="D15" s="19" t="inlineStr">
        <is>
          <t>Overseas ventures (Middle East; Singapore trading/holding).</t>
        </is>
      </c>
    </row>
    <row r="16" ht="45" customHeight="1">
      <c r="A16" s="19" t="inlineStr">
        <is>
          <t>Adani Power</t>
        </is>
      </c>
      <c r="B16" s="19" t="inlineStr">
        <is>
          <t>Adani Power Resources Ltd</t>
        </is>
      </c>
      <c r="C16" s="19" t="inlineStr">
        <is>
          <t>51%</t>
        </is>
      </c>
      <c r="D16" s="19" t="inlineStr">
        <is>
          <t>Resource-related SPV (immaterial size).</t>
        </is>
      </c>
    </row>
    <row r="17" ht="45" customHeight="1">
      <c r="A17" s="19" t="inlineStr">
        <is>
          <t>Adani Power</t>
        </is>
      </c>
      <c r="B17" s="19" t="inlineStr">
        <is>
          <t>[TOTAL: 19 entities in FY26 AOC-1 Part A — fully verified]</t>
        </is>
      </c>
      <c r="C17" s="19" t="inlineStr">
        <is>
          <t>—</t>
        </is>
      </c>
      <c r="D17" s="19" t="inlineStr">
        <is>
          <t>The 6 operating cos (Adani Power Maharashtra/Rajasthan, Udupi, Raipur/Raigarh Energen, Adani Power (Mundra)) were amalgamated INTO the parent effective 1-Oct-2021 and no longer appear.</t>
        </is>
      </c>
    </row>
    <row r="18" ht="45" customHeight="1">
      <c r="A18" s="19" t="inlineStr">
        <is>
          <t>Tata Power</t>
        </is>
      </c>
      <c r="B18" s="19" t="inlineStr">
        <is>
          <t>Tata Power Renewable Energy Ltd (TPREL)</t>
        </is>
      </c>
      <c r="C18" s="19" t="inlineStr">
        <is>
          <t>88.57% (per FY26 AOC-1 — VERIFIED; not ~100% as earlier assumed)</t>
        </is>
      </c>
      <c r="D18" s="19" t="inlineStr">
        <is>
          <t>Renewables arm (solar/wind/rooftop/EV charging). FY26: turnover ₹11,748cr, PAT ₹1,268cr. ~11.4% held by BlackRock-led consortium since FY23 equity raise.</t>
        </is>
      </c>
    </row>
    <row r="19" ht="45" customHeight="1">
      <c r="A19" s="19" t="inlineStr">
        <is>
          <t>Tata Power</t>
        </is>
      </c>
      <c r="B19" s="19" t="inlineStr">
        <is>
          <t>Tata Power Delhi Distribution Ltd (Tata Power-DDL)</t>
        </is>
      </c>
      <c r="C19" s="19" t="inlineStr">
        <is>
          <t>51% (VERIFIED per FY26 AOC-1)</t>
        </is>
      </c>
      <c r="D19" s="19" t="inlineStr">
        <is>
          <t>North Delhi discom (JV with Delhi Govt). FY26: turnover ₹10,426cr, PAT ₹1,299cr.</t>
        </is>
      </c>
    </row>
    <row r="20" ht="45" customHeight="1">
      <c r="A20" s="19" t="inlineStr">
        <is>
          <t>Tata Power</t>
        </is>
      </c>
      <c r="B20" s="19" t="inlineStr">
        <is>
          <t>TP Central / Western / Southern / Northern Odisha Distribution Ltds</t>
        </is>
      </c>
      <c r="C20" s="19" t="inlineStr">
        <is>
          <t>51% each (VERIFIED)</t>
        </is>
      </c>
      <c r="D20" s="19" t="inlineStr">
        <is>
          <t>Four Odisha discoms (PPP, 2020-21). FY26 turnover: TPCODL ₹6,313cr, TPWODL ₹6,355cr, TPSODL ₹2,542cr, TPNODL ₹4,769cr; all PAT-positive.</t>
        </is>
      </c>
    </row>
    <row r="21" ht="45" customHeight="1">
      <c r="A21" s="19" t="inlineStr">
        <is>
          <t>Tata Power</t>
        </is>
      </c>
      <c r="B21" s="19" t="inlineStr">
        <is>
          <t>Tata Power Solar Systems Ltd (TPSSL)</t>
        </is>
      </c>
      <c r="C21" s="19" t="inlineStr">
        <is>
          <t>In AOC-1 (100%, via TPREL structure)</t>
        </is>
      </c>
      <c r="D21" s="19" t="inlineStr">
        <is>
          <t>Solar cell/module manufacturing + EPC.</t>
        </is>
      </c>
    </row>
    <row r="22" ht="45" customHeight="1">
      <c r="A22" s="19" t="inlineStr">
        <is>
          <t>Tata Power</t>
        </is>
      </c>
      <c r="B22" s="19" t="inlineStr">
        <is>
          <t>Coastal Gujarat Power Ltd (CGPL) — NOTE</t>
        </is>
      </c>
      <c r="C22" s="19" t="inlineStr">
        <is>
          <t>Merged into parent, 1-Apr-2020</t>
        </is>
      </c>
      <c r="D22" s="19" t="inlineStr">
        <is>
          <t>Mundra UMPP is now a direct Generation-segment asset, not a subsidiary.</t>
        </is>
      </c>
    </row>
    <row r="23" ht="45" customHeight="1">
      <c r="A23" s="19" t="inlineStr">
        <is>
          <t>Tata Power</t>
        </is>
      </c>
      <c r="B23" s="19" t="inlineStr">
        <is>
          <t>[TOTAL: ~113 entities in FY26 AOC-1 Part A]</t>
        </is>
      </c>
      <c r="C23" s="19" t="inlineStr">
        <is>
          <t>—</t>
        </is>
      </c>
      <c r="D23" s="19" t="inlineStr">
        <is>
          <t>Includes dozens of renewable/transmission SPVs under TPREL and Resurgent Power Ventures; full list in FY26 Annual Report pg. 666+ (AOC-1).</t>
        </is>
      </c>
    </row>
    <row r="24" ht="45" customHeight="1">
      <c r="A24" s="19" t="inlineStr">
        <is>
          <t>Torrent Power</t>
        </is>
      </c>
      <c r="B24" s="19" t="inlineStr">
        <is>
          <t>Torrent Power Grid Ltd</t>
        </is>
      </c>
      <c r="C24" s="19" t="inlineStr">
        <is>
          <t>74% (VERIFIED; PowerGrid Corp holds 26%)</t>
        </is>
      </c>
      <c r="D24" s="19" t="inlineStr">
        <is>
          <t>Interstate power transmission JV-structured subsidiary.</t>
        </is>
      </c>
    </row>
    <row r="25" ht="45" customHeight="1">
      <c r="A25" s="19" t="inlineStr">
        <is>
          <t>Torrent Power</t>
        </is>
      </c>
      <c r="B25" s="19" t="inlineStr">
        <is>
          <t>Transmission SPVs (Solapur Transmission Ltd &amp; 4 others at 74%)</t>
        </is>
      </c>
      <c r="C25" s="19" t="inlineStr">
        <is>
          <t>74% each (per FY26 AOC-1)</t>
        </is>
      </c>
      <c r="D25" s="19" t="inlineStr">
        <is>
          <t>Intra/interstate transmission project SPVs.</t>
        </is>
      </c>
    </row>
    <row r="26" ht="45" customHeight="1">
      <c r="A26" s="19" t="inlineStr">
        <is>
          <t>Torrent Power</t>
        </is>
      </c>
      <c r="B26" s="19" t="inlineStr">
        <is>
          <t>Torrent Pipavav Generation Ltd</t>
        </is>
      </c>
      <c r="C26" s="19" t="inlineStr">
        <is>
          <t>95% (VERIFIED)</t>
        </is>
      </c>
      <c r="D26" s="19" t="inlineStr">
        <is>
          <t>Power generation project, Pipavav.</t>
        </is>
      </c>
    </row>
    <row r="27" ht="45" customHeight="1">
      <c r="A27" s="19" t="inlineStr">
        <is>
          <t>Torrent Power</t>
        </is>
      </c>
      <c r="B27" s="19" t="inlineStr">
        <is>
          <t>Dadra &amp; Nagar Haveli and Daman &amp; Diu Power Distribution Corp Ltd</t>
        </is>
      </c>
      <c r="C27" s="19" t="inlineStr">
        <is>
          <t>51% (VERIFIED)</t>
        </is>
      </c>
      <c r="D27" s="19" t="inlineStr">
        <is>
          <t>UT power distribution licensee (acquired Apr 2022).</t>
        </is>
      </c>
    </row>
    <row r="28" ht="45" customHeight="1">
      <c r="A28" s="19" t="inlineStr">
        <is>
          <t>Torrent Power</t>
        </is>
      </c>
      <c r="B28" s="19" t="inlineStr">
        <is>
          <t>Nabha Power Ltd</t>
        </is>
      </c>
      <c r="C28" s="19" t="inlineStr">
        <is>
          <t>100% (acquired Jun 2026)</t>
        </is>
      </c>
      <c r="D28" s="19" t="inlineStr">
        <is>
          <t>2x700 MW supercritical coal plant, Punjab (from L&amp;T).</t>
        </is>
      </c>
    </row>
    <row r="29" ht="45" customHeight="1">
      <c r="A29" s="19" t="inlineStr">
        <is>
          <t>Torrent Power</t>
        </is>
      </c>
      <c r="B29" s="19" t="inlineStr">
        <is>
          <t>Torrent Solargen, Latur Renewable, Surya Vidyut, Torrent Akshay Urja, Jodhpur Wind Farms, MSKVY solar SPVs, Torrent Electricals, Newzone India, etc.</t>
        </is>
      </c>
      <c r="C29" s="19" t="inlineStr">
        <is>
          <t>100% each</t>
        </is>
      </c>
      <c r="D29" s="19" t="inlineStr">
        <is>
          <t>Renewable generation SPVs (solar/wind incl. Maharashtra MSKVY series), cables/electricals, and other ventures.</t>
        </is>
      </c>
    </row>
    <row r="30" ht="45" customHeight="1">
      <c r="A30" s="19" t="inlineStr">
        <is>
          <t>Torrent Power</t>
        </is>
      </c>
      <c r="B30" s="19" t="inlineStr">
        <is>
          <t>[TOTAL: ~60 entities in FY26 AOC-1 — 53 at 100%, 5 at 74%, 1 at 95%, 1 at 51%]</t>
        </is>
      </c>
      <c r="C30" s="19" t="inlineStr">
        <is>
          <t>—</t>
        </is>
      </c>
      <c r="D30" s="19" t="inlineStr">
        <is>
          <t>Verified from the FY26 Annual Report AOC-1 statement.</t>
        </is>
      </c>
    </row>
    <row r="32" ht="45" customHeight="1">
      <c r="A32" s="36" t="inlineStr">
        <is>
          <t>Cross-check note: Adani Power Resources Ltd (51%) and Adani Atomic Energy Ltd (100%) — a teammate's independent extraction had these two swapped (100%/51% respectively). Re-verified directly against the FY25-26 AR's BRSR Section V.23 'Holding, Subsidiary and Associate Companies' table (a separate disclosure from the AOC-1 annexure, cross-checked line by line): '6 Adani Power Resources Limited Subsidiary 51 Yes' and '21 Adani Atomic Energy Limited Subsidiary 100 Yes' — the percentages already in this sheet are correct.</t>
        </is>
      </c>
    </row>
  </sheetData>
  <mergeCells count="3">
    <mergeCell ref="A1:D1"/>
    <mergeCell ref="A32:D32"/>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9" t="inlineStr">
        <is>
          <t>Adani Power</t>
        </is>
      </c>
      <c r="B6" s="19" t="inlineStr">
        <is>
          <t>Wangchhu Hydroelectric Power Ltd (Bhutan)</t>
        </is>
      </c>
      <c r="C6" s="19" t="inlineStr">
        <is>
          <t>JV (per FY26 AOC-1 Part B — the Group's only listed associate/JV)</t>
        </is>
      </c>
      <c r="D6" s="19" t="inlineStr">
        <is>
          <t>570 MW Wangchhu hydro project JV with Druk Green Power Corp (~₹6,000 cr); Shareholders Agreement Sep 2025; 'yet to commence operations' per AOC-1. VERIFIED.</t>
        </is>
      </c>
    </row>
    <row r="7" ht="45" customHeight="1">
      <c r="A7" s="19" t="inlineStr">
        <is>
          <t>Adani Power</t>
        </is>
      </c>
      <c r="B7" s="19" t="inlineStr">
        <is>
          <t>Moxie Power Generation Ltd — RECLASSIFIED</t>
        </is>
      </c>
      <c r="C7" s="19" t="inlineStr">
        <is>
          <t>49% equity but consolidated as SUBSIDIARY (see Sheet 7)</t>
        </is>
      </c>
      <c r="D7" s="19" t="inlineStr">
        <is>
          <t>CORRECTION: earlier flagged as a JV; the FY26 AOC-1 lists it under Part A (Subsidiaries) — Adani has control despite 49% equity.</t>
        </is>
      </c>
    </row>
    <row r="8" ht="45" customHeight="1">
      <c r="A8" s="19" t="inlineStr">
        <is>
          <t>Adani Power</t>
        </is>
      </c>
      <c r="B8" s="19" t="inlineStr">
        <is>
          <t>Jaiprakash Power Ventures Ltd (JPVL)</t>
        </is>
      </c>
      <c r="C8" s="19" t="inlineStr">
        <is>
          <t>24% (indirect, via resolution plan)</t>
        </is>
      </c>
      <c r="D8" s="19" t="inlineStr">
        <is>
          <t>Adani Power as 'Implementing Entity'; NCLT-approved ~Mar 2026 (~₹14,535 cr). Not yet in FY26 AOC-1 Part B (transaction completing post year-end).</t>
        </is>
      </c>
    </row>
    <row r="9" ht="45" customHeight="1">
      <c r="A9" s="19" t="inlineStr">
        <is>
          <t>Tata Power</t>
        </is>
      </c>
      <c r="B9" s="19" t="inlineStr">
        <is>
          <t>Tata Projects, Resurgent Power Ventures (26%), industrial JVs &amp; associates</t>
        </is>
      </c>
      <c r="C9" s="19" t="inlineStr">
        <is>
          <t>Various</t>
        </is>
      </c>
      <c r="D9" s="19" t="inlineStr">
        <is>
          <t>Tata Power holds numerous associates/JVs (share of profit ₹708cr FY26, ₹793cr FY25 per consolidated P&amp;L); full Part B list in FY26 Annual Report AOC-1.</t>
        </is>
      </c>
    </row>
    <row r="10" ht="45" customHeight="1">
      <c r="A10" s="19" t="inlineStr">
        <is>
          <t>Tata Power</t>
        </is>
      </c>
      <c r="B10" s="19" t="inlineStr">
        <is>
          <t>Dorjilung Hydro Power Ltd (Bhutan)</t>
        </is>
      </c>
      <c r="C10" s="19" t="inlineStr">
        <is>
          <t>Stake not disclosed in extract</t>
        </is>
      </c>
      <c r="D10" s="19" t="inlineStr">
        <is>
          <t>1,125 MW hydro project under development with Druk Green.</t>
        </is>
      </c>
    </row>
    <row r="11" ht="45" customHeight="1">
      <c r="A11" s="19" t="inlineStr">
        <is>
          <t>Torrent Power</t>
        </is>
      </c>
      <c r="B11" s="19" t="inlineStr">
        <is>
          <t>NONE — zero associates or JVs as of 31-Mar-2026</t>
        </is>
      </c>
      <c r="C11" s="19" t="inlineStr">
        <is>
          <t>N/A</t>
        </is>
      </c>
      <c r="D11" s="19"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4"/>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9" t="inlineStr">
        <is>
          <t>Adani Power</t>
        </is>
      </c>
      <c r="B6" s="19"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9" t="inlineStr">
        <is>
          <t>VERIFIED (FY23 Annual Report)</t>
        </is>
      </c>
    </row>
    <row r="7" ht="70" customHeight="1">
      <c r="A7" s="19" t="inlineStr">
        <is>
          <t>Tata Power</t>
        </is>
      </c>
      <c r="B7" s="19"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9" t="inlineStr">
        <is>
          <t>VERIFIED (FY23 Annual Report) — replaces earlier unverified figure</t>
        </is>
      </c>
    </row>
    <row r="8" ht="70" customHeight="1">
      <c r="A8" s="19" t="inlineStr">
        <is>
          <t>Torrent Power</t>
        </is>
      </c>
      <c r="B8" s="19"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9" t="inlineStr">
        <is>
          <t>VERIFIED CONSOLIDATED (FY23 Annual Report) — corrected from standalone</t>
        </is>
      </c>
    </row>
    <row r="10">
      <c r="A10" s="37"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row r="12">
      <c r="A12" s="9" t="inlineStr">
        <is>
          <t>Adani Power (target company) — supplementary 6-year trend, FY21-FY26</t>
        </is>
      </c>
    </row>
    <row r="13">
      <c r="A13" s="12" t="inlineStr">
        <is>
          <t>Consolidated, ₹ Crore. Investments shown are APART FROM investments in subsidiaries, associates and JVs. Shown as additional context beyond the FY23 snapshot above, which is the specific year the assignment asks for.</t>
        </is>
      </c>
    </row>
    <row r="15">
      <c r="A15" s="10" t="inlineStr">
        <is>
          <t>Category</t>
        </is>
      </c>
      <c r="B15" s="10" t="inlineStr">
        <is>
          <t>FY21</t>
        </is>
      </c>
      <c r="C15" s="10" t="inlineStr">
        <is>
          <t>FY22</t>
        </is>
      </c>
      <c r="D15" s="10" t="inlineStr">
        <is>
          <t>FY23</t>
        </is>
      </c>
      <c r="E15" s="10" t="inlineStr">
        <is>
          <t>FY24</t>
        </is>
      </c>
      <c r="F15" s="10" t="inlineStr">
        <is>
          <t>FY25</t>
        </is>
      </c>
      <c r="G15" s="10" t="inlineStr">
        <is>
          <t>FY26</t>
        </is>
      </c>
    </row>
    <row r="16">
      <c r="A16" s="19" t="inlineStr">
        <is>
          <t>Non-current Investments (Govt securities, unquoted equity FVTOCI, AIF units — excl. JV investment)</t>
        </is>
      </c>
      <c r="B16" s="38" t="n">
        <v>0.01</v>
      </c>
      <c r="C16" s="38" t="n">
        <v>0.01</v>
      </c>
      <c r="D16" s="38" t="n">
        <v>42.51</v>
      </c>
      <c r="E16" s="38" t="n">
        <v>0.01</v>
      </c>
      <c r="F16" s="38" t="n">
        <v>59.51</v>
      </c>
      <c r="G16" s="38" t="n">
        <v>0.14</v>
      </c>
    </row>
    <row r="17">
      <c r="A17" s="19" t="inlineStr">
        <is>
          <t>Current Investments (Mutual funds / liquid treasury instruments)</t>
        </is>
      </c>
      <c r="B17" s="38" t="n">
        <v>20.09</v>
      </c>
      <c r="C17" s="38" t="n">
        <v>183.24</v>
      </c>
      <c r="D17" s="38" t="n">
        <v>611.54</v>
      </c>
      <c r="E17" s="38" t="n">
        <v>373.5</v>
      </c>
      <c r="F17" s="38" t="n">
        <v>1037.7</v>
      </c>
      <c r="G17" s="38" t="n">
        <v>1491.35</v>
      </c>
    </row>
    <row r="18">
      <c r="A18" s="18" t="inlineStr">
        <is>
          <t>Total Investments (excl. subs/associates/JV)</t>
        </is>
      </c>
      <c r="B18" s="38">
        <f>B16+B17</f>
        <v/>
      </c>
      <c r="C18" s="38">
        <f>C16+C17</f>
        <v/>
      </c>
      <c r="D18" s="38">
        <f>D16+D17</f>
        <v/>
      </c>
      <c r="E18" s="38">
        <f>E16+E17</f>
        <v/>
      </c>
      <c r="F18" s="38">
        <f>F16+F17</f>
        <v/>
      </c>
      <c r="G18" s="38">
        <f>G16+G17</f>
        <v/>
      </c>
    </row>
    <row r="20" ht="110" customHeight="1">
      <c r="A20" s="14" t="inlineStr">
        <is>
          <t>Source: Adani Power Consolidated Balance Sheet, Notes 'Non-current Investments' and 'Current Investments' — AR FY21-22 through FY25-26, each year cross-checked against the following year's comparative column. FY26 Non-current Investments EXCLUDES the ₹24.50 Cr Wangchhu Hydroelectric JV investment (new that year — see Sheet 8), which is why the ex-JV figure drops to ₹0.14 Cr despite total non-current investments (per the Balance Sheet) being ₹24.64 Cr. Comments: non-current 'other' investments have stayed consistently tiny (₹0.01-59.51 Cr) — clearly not a strategic focus area. The far more significant trend is CURRENT investments (liquid mutual fund holdings), which grew ~74x from just ₹20.09 Cr (FY21) to ₹1,491.35 Cr (FY26) — reflecting Adani Power's dramatically improved operating cash generation over the period (PAT grew from ₹1,270 Cr to ₹12,971 Cr over the same window) being parked in short-term liquid instruments as a treasury/liquidity buffer, rather than a deliberate portfolio-investment strategy.</t>
        </is>
      </c>
    </row>
    <row r="21"/>
    <row r="22"/>
    <row r="23"/>
    <row r="24"/>
  </sheetData>
  <mergeCells count="5">
    <mergeCell ref="A10:C10"/>
    <mergeCell ref="A13:C13"/>
    <mergeCell ref="A1:C1"/>
    <mergeCell ref="A20:G24"/>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1"/>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 width="14" customWidth="1" min="5" max="5"/>
    <col width="14" customWidth="1" min="6" max="6"/>
    <col width="14" customWidth="1" min="7" max="7"/>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9" t="inlineStr">
        <is>
          <t>Adani Power</t>
        </is>
      </c>
      <c r="B6" s="19" t="inlineStr">
        <is>
          <t>Jan 2024</t>
        </is>
      </c>
      <c r="C6" s="19" t="inlineStr">
        <is>
          <t>CRISIL upgraded bank-facility rating to AA-/Stable from A/Stable</t>
        </is>
      </c>
      <c r="D6" s="19" t="inlineStr">
        <is>
          <t>—</t>
        </is>
      </c>
    </row>
    <row r="7" ht="55" customHeight="1">
      <c r="A7" s="19" t="inlineStr">
        <is>
          <t>Adani Power</t>
        </is>
      </c>
      <c r="B7" s="19" t="inlineStr">
        <is>
          <t>Feb 2025</t>
        </is>
      </c>
      <c r="C7" s="19" t="inlineStr">
        <is>
          <t>CRISIL upgraded to AA/Stable from AA-/Positive on ₹38,000 cr long-term bank facilities; assigned AA/Stable to proposed NCDs</t>
        </is>
      </c>
      <c r="D7" s="19" t="inlineStr">
        <is>
          <t>38,000 (facilities); 11,000 (proposed NCDs)</t>
        </is>
      </c>
    </row>
    <row r="8" ht="55" customHeight="1">
      <c r="A8" s="19" t="inlineStr">
        <is>
          <t>Adani Power</t>
        </is>
      </c>
      <c r="B8" s="19" t="inlineStr">
        <is>
          <t>FY22→FY24</t>
        </is>
      </c>
      <c r="C8" s="19" t="inlineStr">
        <is>
          <t>Deleveraging: net debt/EBITDA fell from ~4.0x (Mar-22) to 3.3x (Mar-23) to 1.4x (Mar-24)</t>
        </is>
      </c>
      <c r="D8" s="19" t="inlineStr">
        <is>
          <t>Net debt ~26,270-26,545 (Q4 FY24)</t>
        </is>
      </c>
    </row>
    <row r="9" ht="55" customHeight="1">
      <c r="A9" s="19" t="inlineStr">
        <is>
          <t>Adani Power</t>
        </is>
      </c>
      <c r="B9" s="19" t="inlineStr">
        <is>
          <t>FY24→FY25</t>
        </is>
      </c>
      <c r="C9" s="19" t="inlineStr">
        <is>
          <t>Shareholders' funds grew from ₹43,145 cr (31-Mar-24) to ₹56,347 cr (31-Mar-25)</t>
        </is>
      </c>
      <c r="D9" s="19" t="inlineStr">
        <is>
          <t>+13,202</t>
        </is>
      </c>
    </row>
    <row r="10" ht="55" customHeight="1">
      <c r="A10" s="19" t="inlineStr">
        <is>
          <t>Adani Power</t>
        </is>
      </c>
      <c r="B10" s="19" t="inlineStr">
        <is>
          <t>1-Aug-2025 / 22-Sep-2025</t>
        </is>
      </c>
      <c r="C10" s="19" t="inlineStr">
        <is>
          <t>1:5 stock split announced / effective (face value ₹10 → ₹2) — capital structure change, not a capital raise</t>
        </is>
      </c>
      <c r="D10" s="19" t="inlineStr">
        <is>
          <t>—</t>
        </is>
      </c>
    </row>
    <row r="11" ht="55" customHeight="1">
      <c r="A11" s="19" t="inlineStr">
        <is>
          <t>Tata Power</t>
        </is>
      </c>
      <c r="B11" s="19" t="inlineStr">
        <is>
          <t>30-Jul-2020</t>
        </is>
      </c>
      <c r="C11" s="19" t="inlineStr">
        <is>
          <t>₹2,600 cr preferential allotment of ~49.06 cr shares to promoter Tata Sons at ₹53/share, to cut debt &amp; fund capex; raised promoter stake 35.27%→45.21%</t>
        </is>
      </c>
      <c r="D11" s="19" t="inlineStr">
        <is>
          <t>2,600</t>
        </is>
      </c>
    </row>
    <row r="12" ht="55" customHeight="1">
      <c r="A12" s="19" t="inlineStr">
        <is>
          <t>Tata Power</t>
        </is>
      </c>
      <c r="B12" s="19" t="inlineStr">
        <is>
          <t>Apr-2024</t>
        </is>
      </c>
      <c r="C12" s="19" t="inlineStr">
        <is>
          <t>CRISIL upgraded to AA+/Stable from AA/Positive, citing improved generation/distribution profitability</t>
        </is>
      </c>
      <c r="D12" s="19" t="inlineStr">
        <is>
          <t>—</t>
        </is>
      </c>
    </row>
    <row r="13" ht="55" customHeight="1">
      <c r="A13" s="19" t="inlineStr">
        <is>
          <t>Tata Power</t>
        </is>
      </c>
      <c r="B13" s="19" t="inlineStr">
        <is>
          <t>FY22→FY24</t>
        </is>
      </c>
      <c r="C13" s="19" t="inlineStr">
        <is>
          <t>Deleveraging: net debt/EBITDA fell from ~4.5x (FY22) to 3.8x (FY23), sustained &lt;4.0x through FY24; debtor days improved from &gt;150 to ~102 days</t>
        </is>
      </c>
      <c r="D13" s="19" t="inlineStr">
        <is>
          <t>—</t>
        </is>
      </c>
    </row>
    <row r="14" ht="55" customHeight="1">
      <c r="A14" s="19" t="inlineStr">
        <is>
          <t>Torrent Power</t>
        </is>
      </c>
      <c r="B14" s="19" t="inlineStr">
        <is>
          <t>Dec-2024</t>
        </is>
      </c>
      <c r="C14" s="19" t="inlineStr">
        <is>
          <t>Maiden QIP — ₹3,500 cr raised at ₹1,503/share (~2.32 cr shares); first Torrent Group equity raise in ~3 decades; ~4x oversubscribed (bids ~₹14,000 cr)</t>
        </is>
      </c>
      <c r="D14" s="19" t="inlineStr">
        <is>
          <t>3,500</t>
        </is>
      </c>
    </row>
    <row r="15" ht="55" customHeight="1">
      <c r="A15" s="19" t="inlineStr">
        <is>
          <t>Torrent Power</t>
        </is>
      </c>
      <c r="B15" s="19" t="inlineStr">
        <is>
          <t>Apr-2022</t>
        </is>
      </c>
      <c r="C15" s="19" t="inlineStr">
        <is>
          <t>Series 8 NCDs — ₹600 cr (coupons 6.20%-7.45% across tenors)</t>
        </is>
      </c>
      <c r="D15" s="19" t="inlineStr">
        <is>
          <t>600</t>
        </is>
      </c>
    </row>
    <row r="16" ht="55" customHeight="1">
      <c r="A16" s="19" t="inlineStr">
        <is>
          <t>Torrent Power</t>
        </is>
      </c>
      <c r="B16" s="19" t="inlineStr">
        <is>
          <t>Mar-2026</t>
        </is>
      </c>
      <c r="C16" s="19" t="inlineStr">
        <is>
          <t>NCD issuance, 8/9/10-yr tenor</t>
        </is>
      </c>
      <c r="D16" s="19" t="inlineStr">
        <is>
          <t>2,000</t>
        </is>
      </c>
    </row>
    <row r="17" ht="55" customHeight="1">
      <c r="A17" s="19" t="inlineStr">
        <is>
          <t>Torrent Power</t>
        </is>
      </c>
      <c r="B17" s="19" t="inlineStr">
        <is>
          <t>Jun-2026</t>
        </is>
      </c>
      <c r="C17" s="19" t="inlineStr">
        <is>
          <t>NCDs across 4 tranches (3-10yr, coupons 8.10%-8.20%); board also sanctioned up to ₹10,000 cr NCD private placement tied to an ₹80,000 cr 5-yr capex plan</t>
        </is>
      </c>
      <c r="D17" s="19" t="inlineStr">
        <is>
          <t>3,800 (allotted); up to 10,000 (sanctioned)</t>
        </is>
      </c>
    </row>
    <row r="18" ht="55" customHeight="1">
      <c r="A18" s="19" t="inlineStr">
        <is>
          <t>Torrent Power</t>
        </is>
      </c>
      <c r="B18" s="19" t="inlineStr">
        <is>
          <t>Dec-2023 / Feb-2024 / Feb-2025</t>
        </is>
      </c>
      <c r="C18" s="19" t="inlineStr">
        <is>
          <t>CRISIL reaffirmed AA+/Stable (LT) and A1+ (ST) at each review; net debt/EBITDA improved 2.20x (FY24) → 1.40x (FY25)</t>
        </is>
      </c>
      <c r="D18" s="19" t="inlineStr">
        <is>
          <t>—</t>
        </is>
      </c>
    </row>
    <row r="20">
      <c r="A20" s="9" t="inlineStr">
        <is>
          <t>Adani Power (target company) — Borrowings Trend, FY21-FY26 (Consolidated, ₹ Crore)</t>
        </is>
      </c>
    </row>
    <row r="21">
      <c r="A21" s="10" t="inlineStr">
        <is>
          <t>Metric</t>
        </is>
      </c>
      <c r="B21" s="10" t="inlineStr">
        <is>
          <t>FY21</t>
        </is>
      </c>
      <c r="C21" s="10" t="inlineStr">
        <is>
          <t>FY22</t>
        </is>
      </c>
      <c r="D21" s="10" t="inlineStr">
        <is>
          <t>FY23</t>
        </is>
      </c>
      <c r="E21" s="10" t="inlineStr">
        <is>
          <t>FY24</t>
        </is>
      </c>
      <c r="F21" s="10" t="inlineStr">
        <is>
          <t>FY25</t>
        </is>
      </c>
      <c r="G21" s="10" t="inlineStr">
        <is>
          <t>FY26</t>
        </is>
      </c>
    </row>
    <row r="22">
      <c r="A22" s="11" t="inlineStr">
        <is>
          <t>Non-current Borrowings</t>
        </is>
      </c>
      <c r="B22" s="38" t="n">
        <v>39957</v>
      </c>
      <c r="C22" s="38" t="n">
        <v>37871.32</v>
      </c>
      <c r="D22" s="38" t="n">
        <v>33702.6</v>
      </c>
      <c r="E22" s="38" t="n">
        <v>26595.01</v>
      </c>
      <c r="F22" s="38" t="n">
        <v>27646.96</v>
      </c>
      <c r="G22" s="38" t="n">
        <v>42829.6</v>
      </c>
    </row>
    <row r="23">
      <c r="A23" s="11" t="inlineStr">
        <is>
          <t>Current Borrowings</t>
        </is>
      </c>
      <c r="B23" s="11" t="inlineStr">
        <is>
          <t>N/A</t>
        </is>
      </c>
      <c r="C23" s="38" t="n">
        <v>10924.36</v>
      </c>
      <c r="D23" s="38" t="n">
        <v>8549.450000000001</v>
      </c>
      <c r="E23" s="38" t="n">
        <v>7861.85</v>
      </c>
      <c r="F23" s="38" t="n">
        <v>10687.92</v>
      </c>
      <c r="G23" s="38" t="n">
        <v>10725.94</v>
      </c>
    </row>
    <row r="24">
      <c r="A24" s="18" t="inlineStr">
        <is>
          <t>Total Borrowings</t>
        </is>
      </c>
      <c r="B24" s="38">
        <f>B22</f>
        <v/>
      </c>
      <c r="C24" s="38">
        <f>IFERROR(IF(ISTEXT(C23),C22,C22+C23),C22)</f>
        <v/>
      </c>
      <c r="D24" s="38">
        <f>IFERROR(IF(ISTEXT(D23),D22,D22+D23),D22)</f>
        <v/>
      </c>
      <c r="E24" s="38">
        <f>IFERROR(IF(ISTEXT(E23),E22,E22+E23),E22)</f>
        <v/>
      </c>
      <c r="F24" s="38">
        <f>IFERROR(IF(ISTEXT(F23),F22,F22+F23),F22)</f>
        <v/>
      </c>
      <c r="G24" s="38">
        <f>IFERROR(IF(ISTEXT(G23),G22,G22+G23),G22)</f>
        <v/>
      </c>
    </row>
    <row r="25">
      <c r="A25" s="2" t="inlineStr">
        <is>
          <t>YoY change in Total Borrowings</t>
        </is>
      </c>
      <c r="B25" t="inlineStr">
        <is>
          <t>N/A</t>
        </is>
      </c>
      <c r="C25" s="23">
        <f>IFERROR((C24-B24)/B24,"N/A")</f>
        <v/>
      </c>
      <c r="D25" s="23">
        <f>IFERROR((D24-C24)/C24,"N/A")</f>
        <v/>
      </c>
      <c r="E25" s="23">
        <f>IFERROR((E24-D24)/D24,"N/A")</f>
        <v/>
      </c>
      <c r="F25" s="23">
        <f>IFERROR((F24-E24)/E24,"N/A")</f>
        <v/>
      </c>
      <c r="G25" s="23">
        <f>IFERROR((G24-F24)/F24,"N/A")</f>
        <v/>
      </c>
    </row>
    <row r="27" ht="45" customHeight="1">
      <c r="A27" s="14" t="inlineStr">
        <is>
          <t>• FY22-FY24 — Deliberate DELEVERAGING phase: Total borrowings fell from ~₹48,796 Cr (FY22) to ~₹34,457 Cr (FY24), a ~29% reduction, funded by strong operating cash flows as PAT grew sharply over the same period. Multiple credit rating UPGRADES were recorded since 2018 as a result (per the FY25-26 AR's 'Investment Case' section).</t>
        </is>
      </c>
    </row>
    <row r="28" ht="45" customHeight="1">
      <c r="A28" s="14" t="inlineStr">
        <is>
          <t>• FY25-FY26 — RE-LEVERAGING to fund acquisitions and capacity expansion: Total borrowings rose back to ~₹53,556 Cr (FY26) as the Company funded the Korba Power (KPL), Coastal Energen/Moxie (MPGL), Adani Dahanu (ADTPS) and Vidarbha Industries Power (VIPL) acquisitions plus a sharp step-up in capital expenditure (Capex more than doubled from ₹11,559 Cr in FY25 to ₹23,350 Cr in FY26, per Sheet 6).</t>
        </is>
      </c>
    </row>
    <row r="29" ht="45" customHeight="1">
      <c r="A29" s="14" t="inlineStr">
        <is>
          <t>• FY25-26 — Issuance of ₹7,500 Cr of secured, listed, rated, non-convertible debentures (NCDs) to Qualified Institutional Buyers (mutual funds, private banks, insurance companies) via private placement — a shift toward diversifying the funding mix beyond bank borrowings and into the domestic debt capital markets. These NCDs are listed and traded on BSE's wholesale debt market segment.</t>
        </is>
      </c>
    </row>
    <row r="30" ht="45" customHeight="1">
      <c r="A30" s="14" t="inlineStr">
        <is>
          <t>• Credit ratings as at FY25-26: AA/Stable (long-term) and A1+ (short-term) reaffirmed by all four domestic rating agencies (CRISIL, India Ratings, CARE, ICRA) for the parent; Mahan Energen Limited (subsidiary) separately rated AA-/Stable and A1+ by India Ratings; Korba Power Limited placed on 'Rating Watch with Positive Implications' by CARE Ratings (AA- long-term bank loan facilities) — suggesting the market expects further improvement there.</t>
        </is>
      </c>
    </row>
    <row r="31" ht="45" customHeight="1">
      <c r="A31" s="14" t="inlineStr">
        <is>
          <t>• Share capital action, FY25-26: shareholders approved a 1:5 STOCK SPLIT (face value ₹10 → ₹2 per share), taking authorised share capital to ₹24,800 Cr divided into 12,400 Cr shares of ₹2 each — a shareholder-friendly liquidity measure rather than a financing/capital-raise event per se, but a notable capital-structure change in the year.</t>
        </is>
      </c>
    </row>
    <row r="32" ht="30" customHeight="1">
      <c r="A32" s="16" t="inlineStr">
        <is>
          <t>Source: Adani Power Consolidated Balance Sheet, Notes 'Non-current Borrowings' / 'Current Borrowings' — AR FY21-22 through FY25-26 (each cross-checked against following year's comparative). NCD issuance, credit ratings and stock split: Adani Power Integrated Annual Report 2025-26, Directors' Report / Corporate Governance 'Non-Convertible Debentures', 'Credit Rating' and 'Share Capital' sections.</t>
        </is>
      </c>
    </row>
    <row r="34">
      <c r="A34" s="9" t="inlineStr">
        <is>
          <t>Comments</t>
        </is>
      </c>
    </row>
    <row r="35" ht="100" customHeight="1">
      <c r="A35"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36"/>
    <row r="37"/>
    <row r="38"/>
    <row r="39"/>
    <row r="40"/>
    <row r="41"/>
  </sheetData>
  <mergeCells count="9">
    <mergeCell ref="A32:G32"/>
    <mergeCell ref="A1:D1"/>
    <mergeCell ref="A35:G41"/>
    <mergeCell ref="A27:G27"/>
    <mergeCell ref="A31:G31"/>
    <mergeCell ref="A30:G30"/>
    <mergeCell ref="A29:G29"/>
    <mergeCell ref="A2:D2"/>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2"/>
  <sheetViews>
    <sheetView workbookViewId="0">
      <pane ySplit="5" topLeftCell="A6" activePane="bottomLeft" state="frozen"/>
      <selection pane="bottomLeft" activeCell="A1" sqref="A1"/>
    </sheetView>
  </sheetViews>
  <sheetFormatPr baseColWidth="8" defaultRowHeight="15"/>
  <cols>
    <col width="32" customWidth="1" min="1" max="1"/>
    <col width="16" customWidth="1" min="2" max="2"/>
    <col width="16" customWidth="1" min="3" max="3"/>
    <col width="16" customWidth="1" min="4" max="4"/>
    <col width="18" customWidth="1" min="5" max="5"/>
    <col width="18" customWidth="1" min="6" max="6"/>
  </cols>
  <sheetData>
    <row r="1" ht="24" customHeight="1">
      <c r="A1" s="7" t="inlineStr">
        <is>
          <t>11. Share Price Return vs Sector Index &amp; Market Index (weekly, 27-Jun-2025 to Jun-2026) &amp; Volatility</t>
        </is>
      </c>
    </row>
    <row r="2">
      <c r="A2" s="8" t="inlineStr">
        <is>
          <t>REBUILT from the user-supplied weekly price/return data (Daily_Share1.csv), replacing the earlier Yahoo-Finance-derived series. Sector index = Nifty Energy; Market index = Nifty Next 50 (replaces Nifty 50 per the new source).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Next 50 (market)</t>
        </is>
      </c>
    </row>
    <row r="6" ht="30" customHeight="1">
      <c r="A6" t="inlineStr">
        <is>
          <t>Price at start (27-Jun-2025, ₹ as-quoted; Adani NOT split-adj.)</t>
        </is>
      </c>
      <c r="B6" s="39">
        <f>'Weekly_Price_Data'!C2</f>
        <v/>
      </c>
      <c r="C6" s="39">
        <f>'Weekly_Price_Data'!D2</f>
        <v/>
      </c>
      <c r="D6" s="39">
        <f>'Weekly_Price_Data'!B2</f>
        <v/>
      </c>
      <c r="E6" s="39">
        <f>'Weekly_Price_Data'!E2</f>
        <v/>
      </c>
      <c r="F6" s="39">
        <f>'Weekly_Price_Data'!B50</f>
        <v/>
      </c>
    </row>
    <row r="7" ht="30" customHeight="1">
      <c r="A7" t="inlineStr">
        <is>
          <t>Price at end (₹ as-quoted; Adani NOT split-adj. - not comparable to start)</t>
        </is>
      </c>
      <c r="B7" s="39">
        <f>'Weekly_Price_Data'!C46</f>
        <v/>
      </c>
      <c r="C7" s="39">
        <f>'Weekly_Price_Data'!D46</f>
        <v/>
      </c>
      <c r="D7" s="39">
        <f>'Weekly_Price_Data'!B46</f>
        <v/>
      </c>
      <c r="E7" s="39">
        <f>'Weekly_Price_Data'!E46</f>
        <v/>
      </c>
      <c r="F7" s="39">
        <f>'Weekly_Price_Data'!B78</f>
        <v/>
      </c>
    </row>
    <row r="8" ht="30" customHeight="1">
      <c r="A8" t="inlineStr">
        <is>
          <t>Period return (COMPUTED by compounding weekly returns - split-safe)</t>
        </is>
      </c>
      <c r="B8" s="40">
        <f>'Weekly_Price_Data'!M46/100-1</f>
        <v/>
      </c>
      <c r="C8" s="40">
        <f>'Weekly_Price_Data'!N46/100-1</f>
        <v/>
      </c>
      <c r="D8" s="40">
        <f>'Weekly_Price_Data'!L46/100-1</f>
        <v/>
      </c>
      <c r="E8" s="40">
        <f>'Weekly_Price_Data'!O46/100-1</f>
        <v/>
      </c>
      <c r="F8" s="40">
        <f>PRODUCT(1+'Weekly_Price_Data'!C50:C78)-1</f>
        <v/>
      </c>
    </row>
    <row r="9" ht="30" customHeight="1">
      <c r="A9" t="inlineStr">
        <is>
          <t>Weekly return std dev (COMPUTED)</t>
        </is>
      </c>
      <c r="B9" s="41">
        <f>STDEV('Weekly_Price_Data'!H2:H46)</f>
        <v/>
      </c>
      <c r="C9" s="41">
        <f>STDEV('Weekly_Price_Data'!I2:I46)</f>
        <v/>
      </c>
      <c r="D9" s="41">
        <f>STDEV('Weekly_Price_Data'!G2:G46)</f>
        <v/>
      </c>
      <c r="E9" s="41">
        <f>STDEV('Weekly_Price_Data'!J2:J46)</f>
        <v/>
      </c>
      <c r="F9" s="41">
        <f>STDEV('Weekly_Price_Data'!C50:C78)</f>
        <v/>
      </c>
    </row>
    <row r="10" ht="30" customHeight="1">
      <c r="A10" t="inlineStr">
        <is>
          <t>Annualized volatility = sd x sqrt(52)</t>
        </is>
      </c>
      <c r="B10" s="40">
        <f>STDEV('Weekly_Price_Data'!H2:H46)*SQRT(52)</f>
        <v/>
      </c>
      <c r="C10" s="40">
        <f>STDEV('Weekly_Price_Data'!I2:I46)*SQRT(52)</f>
        <v/>
      </c>
      <c r="D10" s="40">
        <f>STDEV('Weekly_Price_Data'!G2:G46)*SQRT(52)</f>
        <v/>
      </c>
      <c r="E10" s="40">
        <f>STDEV('Weekly_Price_Data'!J2:J46)*SQRT(52)</f>
        <v/>
      </c>
      <c r="F10" s="40">
        <f>STDEV('Weekly_Price_Data'!C50:C78)*SQRT(52)</f>
        <v/>
      </c>
    </row>
    <row r="11" ht="30" customHeight="1">
      <c r="A11" t="inlineStr">
        <is>
          <t>Beta vs Nifty Next 50 / market (n=22 matched weeks only - LOW SAMPLE, directional)</t>
        </is>
      </c>
      <c r="B11" s="39">
        <f>SLOPE('Weekly_Price_Data'!H2:H46,'Weekly_Price_Data'!K2:K46)</f>
        <v/>
      </c>
      <c r="C11" s="39">
        <f>SLOPE('Weekly_Price_Data'!I2:I46,'Weekly_Price_Data'!K2:K46)</f>
        <v/>
      </c>
      <c r="D11" s="39">
        <f>SLOPE('Weekly_Price_Data'!G2:G46,'Weekly_Price_Data'!K2:K46)</f>
        <v/>
      </c>
      <c r="E11" s="39">
        <f>SLOPE('Weekly_Price_Data'!J2:J46,'Weekly_Price_Data'!K2:K46)</f>
        <v/>
      </c>
      <c r="F11" s="39">
        <f>1</f>
        <v/>
      </c>
    </row>
    <row r="12" ht="30" customHeight="1">
      <c r="A12" t="inlineStr">
        <is>
          <t>Beta vs Nifty Energy / sector (COMPUTED, n=44)</t>
        </is>
      </c>
      <c r="B12" s="39">
        <f>SLOPE('Weekly_Price_Data'!H2:H46,'Weekly_Price_Data'!J2:J46)</f>
        <v/>
      </c>
      <c r="C12" s="39">
        <f>SLOPE('Weekly_Price_Data'!I2:I46,'Weekly_Price_Data'!J2:J46)</f>
        <v/>
      </c>
      <c r="D12" s="39">
        <f>SLOPE('Weekly_Price_Data'!G2:G46,'Weekly_Price_Data'!J2:J46)</f>
        <v/>
      </c>
      <c r="E12" s="39">
        <f>1</f>
        <v/>
      </c>
      <c r="F12" s="42" t="n"/>
    </row>
    <row r="13" ht="30" customHeight="1">
      <c r="A13" t="inlineStr">
        <is>
          <t>Return vs sector (stock - Nifty Energy)</t>
        </is>
      </c>
      <c r="B13" s="40">
        <f>('Weekly_Price_Data'!M46/100-1)-('Weekly_Price_Data'!O46/100-1)</f>
        <v/>
      </c>
      <c r="C13" s="40">
        <f>('Weekly_Price_Data'!N46/100-1)-('Weekly_Price_Data'!O46/100-1)</f>
        <v/>
      </c>
      <c r="D13" s="40">
        <f>('Weekly_Price_Data'!L46/100-1)-('Weekly_Price_Data'!O46/100-1)</f>
        <v/>
      </c>
      <c r="E13" s="43" t="n"/>
      <c r="F13" s="43" t="n"/>
    </row>
    <row r="15">
      <c r="A15" s="44" t="inlineStr">
        <is>
          <t>Data note</t>
        </is>
      </c>
    </row>
    <row r="16" ht="115" customHeight="1">
      <c r="A16" s="14" t="inlineStr">
        <is>
          <t>REPLACED per user instruction with the supplied weekly price/return data (Daily_Share1.csv). Window: 27-Jun-2025 to 12-Jun-2026 (45 ISO-weeks common to Torrent/Adani/Tata/Nifty Energy; Torrent/Adani/Tata individually cover to 19-Jun-2026, one week beyond where Nifty Energy's series ends, so that last week is excluded from all cross-series stats for a clean common base - same alignment discipline as before). VERIFIED BEFORE USE: the source's own 'Close Price' and 'Weekly Returns' columns do not reconcile with each other (confirmed via a controlled check across all 5 series) - the returns column is correctly split-adjusted (Adani Power's 22-Sep-2025 1:5 split shows a sane -1.85% weekly return, not a fabricated crash) while the raw Close Price column is NOT split-adjusted, so this workbook uses the WEEKLY RETURNS as the authoritative input and derives Cumulative/Period Return by properly compounding them, rather than trusting the source's own stated 'Cumulative Return' figures (which were computed as a naive non-split-adjusted price ratio and are WRONG for Adani Power specifically - the source states -60.34%, the correct compounded figure is -2.5%). MARKET INDEX CHANGED from Nifty 50 to Nifty Next 50 per the new source data. Nifty Next 50's coverage is sparse and irregular (29 of a possible ~51 weeks, gaps of up to several weeks) - its own return/volatility/period-return stats above use its full 29-point series; its BETA figures use only the 22 weeks that happen to align with the main 45-week grid, so treat Nifty Next 50 betas as directional, not as statistically robust as the Nifty Energy betas (n=44).</t>
        </is>
      </c>
    </row>
    <row r="17"/>
    <row r="18"/>
    <row r="19"/>
    <row r="20"/>
    <row r="21"/>
    <row r="23">
      <c r="A23" s="9" t="inlineStr">
        <is>
          <t>Comments — which share is most volatile?</t>
        </is>
      </c>
    </row>
    <row r="24" ht="150" customHeight="1">
      <c r="A24" s="14" t="inlineStr">
        <is>
          <t>ANSWER (computed from the supplied weekly data, 45 common weeks, 27-Jun-2025 to 12-Jun-2026): ADANI POWER is the most volatile of the three - weekly-return standard deviation 2.95% (annualized ~21%), vs Torrent Power 1.73% (~12%) and Tata Power 1.12% (~8%) - the same volatility ranking as before, though the magnitudes have shifted with this new data window. The sector index (Nifty Energy) sat at 1.23% weekly (~9% annualized) - all three stocks were more volatile than their sector index, Adani markedly so. RETURNS (properly compounded, split-adjusted): all three stocks AND the sector index finished negative over this window, but Adani Power's decline was by far the SMALLEST of the three (-2.5%, actually milder than the sector index itself), while Torrent Power (-5.9%), Tata Power (-7.1%) and Nifty Energy (-7.9%) all fell further - a materially different picture from a naive read of the source file's own (uncorrected, non-split-adjusted) cumulative-return figures, which wrongly showed Adani Power collapsing ~60% when in fact, once the 22-Sep-2025 stock split is correctly accounted for, it was the best-performing (least-bad) of the three. BETA vs NIFTY ENERGY (sector, n=44): 1.10 (Adani), 0.52 (Tata), 0.53 (Torrent) - Adani Power is the only one ABOVE 1.0 (moves somewhat more sharply than the sector), while Tata and Torrent both sit near 0.5 (notably more defensive than the sector index this window). VS THE MARKET (Nifty Next 50, n=22 matched weeks - directional only): period return -2.8%, so all three power stocks' returns diverged from the broad-market proxy; betas vs Nifty Next 50 are low/near-zero for all three (consistent with the sparse, irregular sample rather than necessarily reflecting a true low market sensitivity) - the sector-index comparison above is the more reliable read of these stocks' systematic risk.</t>
        </is>
      </c>
    </row>
    <row r="25"/>
    <row r="26"/>
    <row r="27"/>
    <row r="28"/>
    <row r="29"/>
    <row r="30"/>
    <row r="31"/>
    <row r="32"/>
  </sheetData>
  <mergeCells count="4">
    <mergeCell ref="A16:F21"/>
    <mergeCell ref="A2:F2"/>
    <mergeCell ref="A1:F1"/>
    <mergeCell ref="A24:F3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O78"/>
  <sheetViews>
    <sheetView workbookViewId="0">
      <selection activeCell="A1" sqref="A1"/>
    </sheetView>
  </sheetViews>
  <sheetFormatPr baseColWidth="8" defaultRowHeight="15"/>
  <cols>
    <col width="13"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t="inlineStr">
        <is>
          <t>Week Ending</t>
        </is>
      </c>
      <c r="B1" t="inlineStr">
        <is>
          <t>Torrent Power (₹)</t>
        </is>
      </c>
      <c r="C1" t="inlineStr">
        <is>
          <t>Adani Power (₹, raw/not split-adj.)</t>
        </is>
      </c>
      <c r="D1" t="inlineStr">
        <is>
          <t>Tata Power (₹)</t>
        </is>
      </c>
      <c r="E1" t="inlineStr">
        <is>
          <t>Nifty Energy</t>
        </is>
      </c>
      <c r="F1" t="inlineStr">
        <is>
          <t>Nifty Next 50 (sparse, this week only if matched)</t>
        </is>
      </c>
      <c r="G1" t="inlineStr">
        <is>
          <t>Torrent wk ret</t>
        </is>
      </c>
      <c r="H1" t="inlineStr">
        <is>
          <t>Adani wk ret</t>
        </is>
      </c>
      <c r="I1" t="inlineStr">
        <is>
          <t>Tata wk ret</t>
        </is>
      </c>
      <c r="J1" t="inlineStr">
        <is>
          <t>NiftyEnergy wk ret</t>
        </is>
      </c>
      <c r="K1" t="inlineStr">
        <is>
          <t>NiftyNext50 wk ret (sparse)</t>
        </is>
      </c>
      <c r="L1" t="inlineStr">
        <is>
          <t>Torrent (base=100)</t>
        </is>
      </c>
      <c r="M1" t="inlineStr">
        <is>
          <t>Adani (base=100)</t>
        </is>
      </c>
      <c r="N1" t="inlineStr">
        <is>
          <t>Tata (base=100)</t>
        </is>
      </c>
      <c r="O1" t="inlineStr">
        <is>
          <t>NiftyEnergy (base=100)</t>
        </is>
      </c>
    </row>
    <row r="2">
      <c r="A2" t="inlineStr">
        <is>
          <t>2025-06-27</t>
        </is>
      </c>
      <c r="B2" t="n">
        <v>1473.2</v>
      </c>
      <c r="C2" t="n">
        <v>584.35</v>
      </c>
      <c r="D2" t="n">
        <v>408.85</v>
      </c>
      <c r="E2" t="n">
        <v>8188.24</v>
      </c>
      <c r="G2" s="45" t="n">
        <v>0.0086</v>
      </c>
      <c r="H2" s="45" t="n">
        <v>0.0107</v>
      </c>
      <c r="I2" s="45" t="n">
        <v>0.007900000000000001</v>
      </c>
      <c r="J2" s="45" t="n">
        <v>0.0109</v>
      </c>
      <c r="L2" s="25" t="n">
        <v>100</v>
      </c>
      <c r="M2" s="25" t="n">
        <v>100</v>
      </c>
      <c r="N2" s="25" t="n">
        <v>100</v>
      </c>
      <c r="O2" s="25" t="n">
        <v>100</v>
      </c>
    </row>
    <row r="3">
      <c r="A3" t="inlineStr">
        <is>
          <t>2025-07-04</t>
        </is>
      </c>
      <c r="B3" t="n">
        <v>1439.8</v>
      </c>
      <c r="C3" t="n">
        <v>584.8</v>
      </c>
      <c r="D3" t="n">
        <v>401</v>
      </c>
      <c r="E3" t="n">
        <v>8107.54</v>
      </c>
      <c r="F3" t="n">
        <v>68998.2</v>
      </c>
      <c r="G3" s="45" t="n">
        <v>-0.0018</v>
      </c>
      <c r="H3" s="45" t="n">
        <v>-0.0053</v>
      </c>
      <c r="I3" s="45" t="n">
        <v>0.0028</v>
      </c>
      <c r="J3" s="45" t="n">
        <v>0.0005</v>
      </c>
      <c r="K3" s="45" t="n">
        <v>0.0042</v>
      </c>
      <c r="L3" s="25">
        <f>L2*(1+G3)</f>
        <v/>
      </c>
      <c r="M3" s="25">
        <f>M2*(1+H3)</f>
        <v/>
      </c>
      <c r="N3" s="25">
        <f>N2*(1+I3)</f>
        <v/>
      </c>
      <c r="O3" s="25">
        <f>O2*(1+J3)</f>
        <v/>
      </c>
    </row>
    <row r="4">
      <c r="A4" t="inlineStr">
        <is>
          <t>2025-07-11</t>
        </is>
      </c>
      <c r="B4" t="n">
        <v>1408.1</v>
      </c>
      <c r="C4" t="n">
        <v>603.95</v>
      </c>
      <c r="D4" t="n">
        <v>396.85</v>
      </c>
      <c r="E4" t="n">
        <v>8233.1</v>
      </c>
      <c r="F4" t="n">
        <v>68725.8</v>
      </c>
      <c r="G4" s="45" t="n">
        <v>-0.013</v>
      </c>
      <c r="H4" s="45" t="n">
        <v>-0.0031</v>
      </c>
      <c r="I4" s="45" t="n">
        <v>-0.0076</v>
      </c>
      <c r="J4" s="45" t="n">
        <v>-0.0022</v>
      </c>
      <c r="K4" s="45" t="n">
        <v>0.0017</v>
      </c>
      <c r="L4" s="25">
        <f>L3*(1+G4)</f>
        <v/>
      </c>
      <c r="M4" s="25">
        <f>M3*(1+H4)</f>
        <v/>
      </c>
      <c r="N4" s="25">
        <f>N3*(1+I4)</f>
        <v/>
      </c>
      <c r="O4" s="25">
        <f>O3*(1+J4)</f>
        <v/>
      </c>
    </row>
    <row r="5">
      <c r="A5" t="inlineStr">
        <is>
          <t>2025-07-18</t>
        </is>
      </c>
      <c r="B5" t="n">
        <v>1368.6</v>
      </c>
      <c r="C5" t="n">
        <v>594.65</v>
      </c>
      <c r="D5" t="n">
        <v>407.9</v>
      </c>
      <c r="E5" t="n">
        <v>8227.98</v>
      </c>
      <c r="F5" t="n">
        <v>68711.45</v>
      </c>
      <c r="G5" s="45" t="n">
        <v>-0.0124</v>
      </c>
      <c r="H5" s="45" t="n">
        <v>-0.0067</v>
      </c>
      <c r="I5" s="45" t="n">
        <v>-0.0134</v>
      </c>
      <c r="J5" s="45" t="n">
        <v>-0.0077</v>
      </c>
      <c r="K5" s="45" t="n">
        <v>-0.0023</v>
      </c>
      <c r="L5" s="25">
        <f>L4*(1+G5)</f>
        <v/>
      </c>
      <c r="M5" s="25">
        <f>M4*(1+H5)</f>
        <v/>
      </c>
      <c r="N5" s="25">
        <f>N4*(1+I5)</f>
        <v/>
      </c>
      <c r="O5" s="25">
        <f>O4*(1+J5)</f>
        <v/>
      </c>
    </row>
    <row r="6">
      <c r="A6" t="inlineStr">
        <is>
          <t>2025-07-25</t>
        </is>
      </c>
      <c r="B6" t="n">
        <v>1325.5</v>
      </c>
      <c r="C6" t="n">
        <v>570</v>
      </c>
      <c r="D6" t="n">
        <v>395.35</v>
      </c>
      <c r="E6" t="n">
        <v>7977.92</v>
      </c>
      <c r="F6" t="n">
        <v>68207.3</v>
      </c>
      <c r="G6" s="45" t="n">
        <v>-0.0228</v>
      </c>
      <c r="H6" s="45" t="n">
        <v>-0.0269</v>
      </c>
      <c r="I6" s="45" t="n">
        <v>-0.0134</v>
      </c>
      <c r="J6" s="45" t="n">
        <v>-0.024</v>
      </c>
      <c r="K6" s="45" t="n">
        <v>-0.0023</v>
      </c>
      <c r="L6" s="25">
        <f>L5*(1+G6)</f>
        <v/>
      </c>
      <c r="M6" s="25">
        <f>M5*(1+H6)</f>
        <v/>
      </c>
      <c r="N6" s="25">
        <f>N5*(1+I6)</f>
        <v/>
      </c>
      <c r="O6" s="25">
        <f>O5*(1+J6)</f>
        <v/>
      </c>
    </row>
    <row r="7">
      <c r="A7" t="inlineStr">
        <is>
          <t>2025-08-01</t>
        </is>
      </c>
      <c r="B7" t="n">
        <v>1288.2</v>
      </c>
      <c r="C7" t="n">
        <v>567</v>
      </c>
      <c r="D7" t="n">
        <v>389.3</v>
      </c>
      <c r="E7" t="n">
        <v>7894.41</v>
      </c>
      <c r="G7" s="45" t="n">
        <v>-0.0166</v>
      </c>
      <c r="H7" s="45" t="n">
        <v>-0.0359</v>
      </c>
      <c r="I7" s="45" t="n">
        <v>-0.0212</v>
      </c>
      <c r="J7" s="45" t="n">
        <v>-0.013</v>
      </c>
      <c r="L7" s="25">
        <f>L6*(1+G7)</f>
        <v/>
      </c>
      <c r="M7" s="25">
        <f>M6*(1+H7)</f>
        <v/>
      </c>
      <c r="N7" s="25">
        <f>N6*(1+I7)</f>
        <v/>
      </c>
      <c r="O7" s="25">
        <f>O6*(1+J7)</f>
        <v/>
      </c>
    </row>
    <row r="8">
      <c r="A8" t="inlineStr">
        <is>
          <t>2025-08-22</t>
        </is>
      </c>
      <c r="B8" t="n">
        <v>1282</v>
      </c>
      <c r="C8" t="n">
        <v>594.3</v>
      </c>
      <c r="D8" t="n">
        <v>385.6</v>
      </c>
      <c r="E8" t="n">
        <v>7947.13</v>
      </c>
      <c r="G8" s="45" t="n">
        <v>-0.0076</v>
      </c>
      <c r="H8" s="45" t="n">
        <v>-0.0032</v>
      </c>
      <c r="I8" s="45" t="n">
        <v>-0.0063</v>
      </c>
      <c r="J8" s="45" t="n">
        <v>-0.0069</v>
      </c>
      <c r="L8" s="25">
        <f>L7*(1+G8)</f>
        <v/>
      </c>
      <c r="M8" s="25">
        <f>M7*(1+H8)</f>
        <v/>
      </c>
      <c r="N8" s="25">
        <f>N7*(1+I8)</f>
        <v/>
      </c>
      <c r="O8" s="25">
        <f>O7*(1+J8)</f>
        <v/>
      </c>
    </row>
    <row r="9">
      <c r="A9" t="inlineStr">
        <is>
          <t>2025-08-29</t>
        </is>
      </c>
      <c r="B9" t="n">
        <v>1227.3</v>
      </c>
      <c r="C9" t="n">
        <v>600.65</v>
      </c>
      <c r="D9" t="n">
        <v>374.15</v>
      </c>
      <c r="E9" t="n">
        <v>7661.83</v>
      </c>
      <c r="F9" t="n">
        <v>66800.35000000001</v>
      </c>
      <c r="G9" s="45" t="n">
        <v>-0.0168</v>
      </c>
      <c r="H9" s="45" t="n">
        <v>0.009599999999999999</v>
      </c>
      <c r="I9" s="45" t="n">
        <v>0.008199999999999999</v>
      </c>
      <c r="J9" s="45" t="n">
        <v>-0.0036</v>
      </c>
      <c r="K9" s="45" t="n">
        <v>-0.0135</v>
      </c>
      <c r="L9" s="25">
        <f>L8*(1+G9)</f>
        <v/>
      </c>
      <c r="M9" s="25">
        <f>M8*(1+H9)</f>
        <v/>
      </c>
      <c r="N9" s="25">
        <f>N8*(1+I9)</f>
        <v/>
      </c>
      <c r="O9" s="25">
        <f>O8*(1+J9)</f>
        <v/>
      </c>
    </row>
    <row r="10">
      <c r="A10" t="inlineStr">
        <is>
          <t>2025-09-05</t>
        </is>
      </c>
      <c r="B10" t="n">
        <v>1262.9</v>
      </c>
      <c r="C10" t="n">
        <v>609.7</v>
      </c>
      <c r="D10" t="n">
        <v>385.8</v>
      </c>
      <c r="E10" t="n">
        <v>7799.95</v>
      </c>
      <c r="F10" t="n">
        <v>67017.75</v>
      </c>
      <c r="G10" s="45" t="n">
        <v>-0.0247</v>
      </c>
      <c r="H10" s="45" t="n">
        <v>0.0016</v>
      </c>
      <c r="I10" s="45" t="n">
        <v>0.008399999999999999</v>
      </c>
      <c r="J10" s="45" t="n">
        <v>0.0024</v>
      </c>
      <c r="K10" s="45" t="n">
        <v>0.0052</v>
      </c>
      <c r="L10" s="25">
        <f>L9*(1+G10)</f>
        <v/>
      </c>
      <c r="M10" s="25">
        <f>M9*(1+H10)</f>
        <v/>
      </c>
      <c r="N10" s="25">
        <f>N9*(1+I10)</f>
        <v/>
      </c>
      <c r="O10" s="25">
        <f>O9*(1+J10)</f>
        <v/>
      </c>
    </row>
    <row r="11">
      <c r="A11" t="inlineStr">
        <is>
          <t>2025-09-12</t>
        </is>
      </c>
      <c r="B11" t="n">
        <v>1267.8</v>
      </c>
      <c r="C11" t="n">
        <v>648.55</v>
      </c>
      <c r="D11" t="n">
        <v>386.25</v>
      </c>
      <c r="E11" t="n">
        <v>8012.42</v>
      </c>
      <c r="G11" s="45" t="n">
        <v>-0.0004</v>
      </c>
      <c r="H11" s="45" t="n">
        <v>0.0383</v>
      </c>
      <c r="I11" s="45" t="n">
        <v>-0.0048</v>
      </c>
      <c r="J11" s="45" t="n">
        <v>0.0067</v>
      </c>
      <c r="L11" s="25">
        <f>L10*(1+G11)</f>
        <v/>
      </c>
      <c r="M11" s="25">
        <f>M10*(1+H11)</f>
        <v/>
      </c>
      <c r="N11" s="25">
        <f>N10*(1+I11)</f>
        <v/>
      </c>
      <c r="O11" s="25">
        <f>O10*(1+J11)</f>
        <v/>
      </c>
    </row>
    <row r="12">
      <c r="A12" t="inlineStr">
        <is>
          <t>2025-09-19</t>
        </is>
      </c>
      <c r="B12" t="n">
        <v>1264.5</v>
      </c>
      <c r="C12" t="n">
        <v>709.4</v>
      </c>
      <c r="D12" t="n">
        <v>396.3</v>
      </c>
      <c r="E12" t="n">
        <v>8235.040000000001</v>
      </c>
      <c r="F12" t="n">
        <v>69334.3</v>
      </c>
      <c r="G12" s="45" t="n">
        <v>-0.0156</v>
      </c>
      <c r="H12" s="45" t="n">
        <v>0.1236</v>
      </c>
      <c r="I12" s="45" t="n">
        <v>0.008100000000000001</v>
      </c>
      <c r="J12" s="45" t="n">
        <v>0.0188</v>
      </c>
      <c r="K12" s="45" t="n">
        <v>0.0027</v>
      </c>
      <c r="L12" s="25">
        <f>L11*(1+G12)</f>
        <v/>
      </c>
      <c r="M12" s="25">
        <f>M11*(1+H12)</f>
        <v/>
      </c>
      <c r="N12" s="25">
        <f>N11*(1+I12)</f>
        <v/>
      </c>
      <c r="O12" s="25">
        <f>O11*(1+J12)</f>
        <v/>
      </c>
    </row>
    <row r="13">
      <c r="A13" t="inlineStr">
        <is>
          <t>2025-09-26</t>
        </is>
      </c>
      <c r="B13" t="n">
        <v>1233.3</v>
      </c>
      <c r="C13" t="n">
        <v>146.25</v>
      </c>
      <c r="D13" t="n">
        <v>383.8</v>
      </c>
      <c r="E13" t="n">
        <v>8245.110000000001</v>
      </c>
      <c r="G13" s="45" t="n">
        <v>-0.0169</v>
      </c>
      <c r="H13" s="45" t="n">
        <v>-0.0185</v>
      </c>
      <c r="I13" s="45" t="n">
        <v>-0.005699999999999999</v>
      </c>
      <c r="J13" s="45" t="n">
        <v>-0.0103</v>
      </c>
      <c r="L13" s="25">
        <f>L12*(1+G13)</f>
        <v/>
      </c>
      <c r="M13" s="25">
        <f>M12*(1+H13)</f>
        <v/>
      </c>
      <c r="N13" s="25">
        <f>N12*(1+I13)</f>
        <v/>
      </c>
      <c r="O13" s="25">
        <f>O12*(1+J13)</f>
        <v/>
      </c>
    </row>
    <row r="14">
      <c r="A14" t="inlineStr">
        <is>
          <t>2025-10-03</t>
        </is>
      </c>
      <c r="B14" t="n">
        <v>1221.1</v>
      </c>
      <c r="C14" t="n">
        <v>147.38</v>
      </c>
      <c r="D14" t="n">
        <v>394.9</v>
      </c>
      <c r="E14" t="n">
        <v>8296.879999999999</v>
      </c>
      <c r="G14" s="45" t="n">
        <v>0.0042</v>
      </c>
      <c r="H14" s="45" t="n">
        <v>-0.0336</v>
      </c>
      <c r="I14" s="45" t="n">
        <v>0.009599999999999999</v>
      </c>
      <c r="J14" s="45" t="n">
        <v>0.009599999999999999</v>
      </c>
      <c r="L14" s="25">
        <f>L13*(1+G14)</f>
        <v/>
      </c>
      <c r="M14" s="25">
        <f>M13*(1+H14)</f>
        <v/>
      </c>
      <c r="N14" s="25">
        <f>N13*(1+I14)</f>
        <v/>
      </c>
      <c r="O14" s="25">
        <f>O13*(1+J14)</f>
        <v/>
      </c>
    </row>
    <row r="15">
      <c r="A15" t="inlineStr">
        <is>
          <t>2025-10-10</t>
        </is>
      </c>
      <c r="B15" t="n">
        <v>1239.3</v>
      </c>
      <c r="C15" t="n">
        <v>149.7</v>
      </c>
      <c r="D15" t="n">
        <v>390.1</v>
      </c>
      <c r="E15" t="n">
        <v>8297.370000000001</v>
      </c>
      <c r="G15" s="45" t="n">
        <v>-0.001</v>
      </c>
      <c r="H15" s="45" t="n">
        <v>0.0053</v>
      </c>
      <c r="I15" s="45" t="n">
        <v>0.0049</v>
      </c>
      <c r="J15" s="45" t="n">
        <v>0.0097</v>
      </c>
      <c r="L15" s="25">
        <f>L14*(1+G15)</f>
        <v/>
      </c>
      <c r="M15" s="25">
        <f>M14*(1+H15)</f>
        <v/>
      </c>
      <c r="N15" s="25">
        <f>N14*(1+I15)</f>
        <v/>
      </c>
      <c r="O15" s="25">
        <f>O14*(1+J15)</f>
        <v/>
      </c>
    </row>
    <row r="16">
      <c r="A16" t="inlineStr">
        <is>
          <t>2025-10-17</t>
        </is>
      </c>
      <c r="B16" t="n">
        <v>1311.8</v>
      </c>
      <c r="C16" t="n">
        <v>165.98</v>
      </c>
      <c r="D16" t="n">
        <v>397.8</v>
      </c>
      <c r="E16" t="n">
        <v>8400.530000000001</v>
      </c>
      <c r="F16" t="n">
        <v>69453.2</v>
      </c>
      <c r="G16" s="45" t="n">
        <v>-0.0193</v>
      </c>
      <c r="H16" s="45" t="n">
        <v>0.0547</v>
      </c>
      <c r="I16" s="45" t="n">
        <v>-0.003</v>
      </c>
      <c r="J16" s="45" t="n">
        <v>0.004500000000000001</v>
      </c>
      <c r="K16" s="45" t="n">
        <v>0.0049</v>
      </c>
      <c r="L16" s="25">
        <f>L15*(1+G16)</f>
        <v/>
      </c>
      <c r="M16" s="25">
        <f>M15*(1+H16)</f>
        <v/>
      </c>
      <c r="N16" s="25">
        <f>N15*(1+I16)</f>
        <v/>
      </c>
      <c r="O16" s="25">
        <f>O15*(1+J16)</f>
        <v/>
      </c>
    </row>
    <row r="17">
      <c r="A17" t="inlineStr">
        <is>
          <t>2025-10-24</t>
        </is>
      </c>
      <c r="B17" t="n">
        <v>1325.8</v>
      </c>
      <c r="C17" t="n">
        <v>167.72</v>
      </c>
      <c r="D17" t="n">
        <v>396.85</v>
      </c>
      <c r="E17" t="n">
        <v>8395.48</v>
      </c>
      <c r="F17" t="n">
        <v>69355.89999999999</v>
      </c>
      <c r="G17" s="45" t="n">
        <v>-0.002</v>
      </c>
      <c r="H17" s="45" t="n">
        <v>0.0149</v>
      </c>
      <c r="I17" s="45" t="n">
        <v>-0.002</v>
      </c>
      <c r="J17" s="45" t="n">
        <v>-0.0026</v>
      </c>
      <c r="K17" s="45" t="n">
        <v>-0.0011</v>
      </c>
      <c r="L17" s="25">
        <f>L16*(1+G17)</f>
        <v/>
      </c>
      <c r="M17" s="25">
        <f>M16*(1+H17)</f>
        <v/>
      </c>
      <c r="N17" s="25">
        <f>N16*(1+I17)</f>
        <v/>
      </c>
      <c r="O17" s="25">
        <f>O16*(1+J17)</f>
        <v/>
      </c>
    </row>
    <row r="18">
      <c r="A18" t="inlineStr">
        <is>
          <t>2025-10-31</t>
        </is>
      </c>
      <c r="B18" t="n">
        <v>1316.5</v>
      </c>
      <c r="C18" t="n">
        <v>157.85</v>
      </c>
      <c r="D18" t="n">
        <v>404.9</v>
      </c>
      <c r="E18" t="n">
        <v>8520.16</v>
      </c>
      <c r="F18" t="n">
        <v>69824.75</v>
      </c>
      <c r="G18" s="45" t="n">
        <v>0.0004</v>
      </c>
      <c r="H18" s="45" t="n">
        <v>-0.029</v>
      </c>
      <c r="I18" s="45" t="n">
        <v>-0.012</v>
      </c>
      <c r="J18" s="45" t="n">
        <v>-0.0025</v>
      </c>
      <c r="K18" s="45" t="n">
        <v>-0.0037</v>
      </c>
      <c r="L18" s="25">
        <f>L17*(1+G18)</f>
        <v/>
      </c>
      <c r="M18" s="25">
        <f>M17*(1+H18)</f>
        <v/>
      </c>
      <c r="N18" s="25">
        <f>N17*(1+I18)</f>
        <v/>
      </c>
      <c r="O18" s="25">
        <f>O17*(1+J18)</f>
        <v/>
      </c>
    </row>
    <row r="19">
      <c r="A19" t="inlineStr">
        <is>
          <t>2025-11-07</t>
        </is>
      </c>
      <c r="B19" t="n">
        <v>1281.2</v>
      </c>
      <c r="C19" t="n">
        <v>151.48</v>
      </c>
      <c r="D19" t="n">
        <v>393.2</v>
      </c>
      <c r="E19" t="n">
        <v>8052.19</v>
      </c>
      <c r="F19" t="n">
        <v>69299.55</v>
      </c>
      <c r="G19" s="45" t="n">
        <v>0.0063</v>
      </c>
      <c r="H19" s="45" t="n">
        <v>-0.011</v>
      </c>
      <c r="I19" s="45" t="n">
        <v>0.0037</v>
      </c>
      <c r="J19" s="45" t="n">
        <v>-0.0029</v>
      </c>
      <c r="K19" s="45" t="n">
        <v>-0.0124</v>
      </c>
      <c r="L19" s="25">
        <f>L18*(1+G19)</f>
        <v/>
      </c>
      <c r="M19" s="25">
        <f>M18*(1+H19)</f>
        <v/>
      </c>
      <c r="N19" s="25">
        <f>N18*(1+I19)</f>
        <v/>
      </c>
      <c r="O19" s="25">
        <f>O18*(1+J19)</f>
        <v/>
      </c>
    </row>
    <row r="20">
      <c r="A20" t="inlineStr">
        <is>
          <t>2025-11-14</t>
        </is>
      </c>
      <c r="B20" t="n">
        <v>1301</v>
      </c>
      <c r="C20" t="n">
        <v>153.91</v>
      </c>
      <c r="D20" t="n">
        <v>388.4</v>
      </c>
      <c r="E20" t="n">
        <v>8103.35</v>
      </c>
      <c r="G20" s="45" t="n">
        <v>0.005699999999999999</v>
      </c>
      <c r="H20" s="45" t="n">
        <v>0.0136</v>
      </c>
      <c r="I20" s="45" t="n">
        <v>-0.001</v>
      </c>
      <c r="J20" s="45" t="n">
        <v>0.0026</v>
      </c>
      <c r="L20" s="25">
        <f>L19*(1+G20)</f>
        <v/>
      </c>
      <c r="M20" s="25">
        <f>M19*(1+H20)</f>
        <v/>
      </c>
      <c r="N20" s="25">
        <f>N19*(1+I20)</f>
        <v/>
      </c>
      <c r="O20" s="25">
        <f>O19*(1+J20)</f>
        <v/>
      </c>
    </row>
    <row r="21">
      <c r="A21" t="inlineStr">
        <is>
          <t>2025-11-21</t>
        </is>
      </c>
      <c r="B21" t="n">
        <v>1291.4</v>
      </c>
      <c r="C21" t="n">
        <v>149.12</v>
      </c>
      <c r="D21" t="n">
        <v>387</v>
      </c>
      <c r="E21" t="n">
        <v>7996.72</v>
      </c>
      <c r="F21" t="n">
        <v>68669.14999999999</v>
      </c>
      <c r="G21" s="45" t="n">
        <v>-0.0171</v>
      </c>
      <c r="H21" s="45" t="n">
        <v>-0.0154</v>
      </c>
      <c r="I21" s="45" t="n">
        <v>-0.0028</v>
      </c>
      <c r="J21" s="45" t="n">
        <v>-0.0104</v>
      </c>
      <c r="K21" s="45" t="n">
        <v>-0.0129</v>
      </c>
      <c r="L21" s="25">
        <f>L20*(1+G21)</f>
        <v/>
      </c>
      <c r="M21" s="25">
        <f>M20*(1+H21)</f>
        <v/>
      </c>
      <c r="N21" s="25">
        <f>N20*(1+I21)</f>
        <v/>
      </c>
      <c r="O21" s="25">
        <f>O20*(1+J21)</f>
        <v/>
      </c>
    </row>
    <row r="22">
      <c r="A22" t="inlineStr">
        <is>
          <t>2025-11-28</t>
        </is>
      </c>
      <c r="B22" t="n">
        <v>1314.5</v>
      </c>
      <c r="C22" t="n">
        <v>147.49</v>
      </c>
      <c r="D22" t="n">
        <v>390.1</v>
      </c>
      <c r="E22" t="n">
        <v>7947.46</v>
      </c>
      <c r="F22" t="n">
        <v>68172.45</v>
      </c>
      <c r="G22" s="45" t="n">
        <v>0.0012</v>
      </c>
      <c r="H22" s="45" t="n">
        <v>-0.0043</v>
      </c>
      <c r="I22" s="45" t="n">
        <v>-0.005</v>
      </c>
      <c r="J22" s="45" t="n">
        <v>-0.0033</v>
      </c>
      <c r="K22" s="45" t="n">
        <v>0.0026</v>
      </c>
      <c r="L22" s="25">
        <f>L21*(1+G22)</f>
        <v/>
      </c>
      <c r="M22" s="25">
        <f>M21*(1+H22)</f>
        <v/>
      </c>
      <c r="N22" s="25">
        <f>N21*(1+I22)</f>
        <v/>
      </c>
      <c r="O22" s="25">
        <f>O21*(1+J22)</f>
        <v/>
      </c>
    </row>
    <row r="23">
      <c r="A23" t="inlineStr">
        <is>
          <t>2025-12-05</t>
        </is>
      </c>
      <c r="B23" t="n">
        <v>1289.9</v>
      </c>
      <c r="C23" t="n">
        <v>143.78</v>
      </c>
      <c r="D23" t="n">
        <v>384.5</v>
      </c>
      <c r="E23" t="n">
        <v>7820.63</v>
      </c>
      <c r="G23" s="45" t="n">
        <v>-0.0075</v>
      </c>
      <c r="H23" s="45" t="n">
        <v>0.0074</v>
      </c>
      <c r="I23" s="45" t="n">
        <v>0.0001</v>
      </c>
      <c r="J23" s="45" t="n">
        <v>0.0007000000000000001</v>
      </c>
      <c r="L23" s="25">
        <f>L22*(1+G23)</f>
        <v/>
      </c>
      <c r="M23" s="25">
        <f>M22*(1+H23)</f>
        <v/>
      </c>
      <c r="N23" s="25">
        <f>N22*(1+I23)</f>
        <v/>
      </c>
      <c r="O23" s="25">
        <f>O22*(1+J23)</f>
        <v/>
      </c>
    </row>
    <row r="24">
      <c r="A24" t="inlineStr">
        <is>
          <t>2025-12-12</t>
        </is>
      </c>
      <c r="B24" t="n">
        <v>1290.8</v>
      </c>
      <c r="C24" t="n">
        <v>144.49</v>
      </c>
      <c r="D24" t="n">
        <v>381.95</v>
      </c>
      <c r="E24" t="n">
        <v>7815.08</v>
      </c>
      <c r="G24" s="45" t="n">
        <v>0.0063</v>
      </c>
      <c r="H24" s="45" t="n">
        <v>0.0278</v>
      </c>
      <c r="I24" s="45" t="n">
        <v>0.004699999999999999</v>
      </c>
      <c r="J24" s="45" t="n">
        <v>0.0106</v>
      </c>
      <c r="L24" s="25">
        <f>L23*(1+G24)</f>
        <v/>
      </c>
      <c r="M24" s="25">
        <f>M23*(1+H24)</f>
        <v/>
      </c>
      <c r="N24" s="25">
        <f>N23*(1+I24)</f>
        <v/>
      </c>
      <c r="O24" s="25">
        <f>O23*(1+J24)</f>
        <v/>
      </c>
    </row>
    <row r="25">
      <c r="A25" t="inlineStr">
        <is>
          <t>2025-12-19</t>
        </is>
      </c>
      <c r="B25" t="n">
        <v>1279.1</v>
      </c>
      <c r="C25" t="n">
        <v>141.76</v>
      </c>
      <c r="D25" t="n">
        <v>380.55</v>
      </c>
      <c r="E25" t="n">
        <v>7669.53</v>
      </c>
      <c r="G25" s="45" t="n">
        <v>0.0211</v>
      </c>
      <c r="H25" s="45" t="n">
        <v>0.0033</v>
      </c>
      <c r="I25" s="45" t="n">
        <v>0.0149</v>
      </c>
      <c r="J25" s="45" t="n">
        <v>-0.007900000000000001</v>
      </c>
      <c r="L25" s="25">
        <f>L24*(1+G25)</f>
        <v/>
      </c>
      <c r="M25" s="25">
        <f>M24*(1+H25)</f>
        <v/>
      </c>
      <c r="N25" s="25">
        <f>N24*(1+I25)</f>
        <v/>
      </c>
      <c r="O25" s="25">
        <f>O24*(1+J25)</f>
        <v/>
      </c>
    </row>
    <row r="26">
      <c r="A26" t="inlineStr">
        <is>
          <t>2025-12-26</t>
        </is>
      </c>
      <c r="B26" t="n">
        <v>1299.2</v>
      </c>
      <c r="C26" t="n">
        <v>142.19</v>
      </c>
      <c r="D26" t="n">
        <v>379.55</v>
      </c>
      <c r="E26" t="n">
        <v>7821.19</v>
      </c>
      <c r="F26" t="n">
        <v>69096.3</v>
      </c>
      <c r="G26" s="45" t="n">
        <v>0.0144</v>
      </c>
      <c r="H26" s="45" t="n">
        <v>-0.0068</v>
      </c>
      <c r="I26" s="45" t="n">
        <v>-0.0004</v>
      </c>
      <c r="J26" s="45" t="n">
        <v>-0.0015</v>
      </c>
      <c r="K26" s="45" t="n">
        <v>0.0037</v>
      </c>
      <c r="L26" s="25">
        <f>L25*(1+G26)</f>
        <v/>
      </c>
      <c r="M26" s="25">
        <f>M25*(1+H26)</f>
        <v/>
      </c>
      <c r="N26" s="25">
        <f>N25*(1+I26)</f>
        <v/>
      </c>
      <c r="O26" s="25">
        <f>O25*(1+J26)</f>
        <v/>
      </c>
    </row>
    <row r="27">
      <c r="A27" t="inlineStr">
        <is>
          <t>2026-01-02</t>
        </is>
      </c>
      <c r="B27" t="n">
        <v>1399.4</v>
      </c>
      <c r="C27" t="n">
        <v>148.17</v>
      </c>
      <c r="D27" t="n">
        <v>393.1</v>
      </c>
      <c r="E27" t="n">
        <v>8189.48</v>
      </c>
      <c r="G27" s="45" t="n">
        <v>0.0546</v>
      </c>
      <c r="H27" s="45" t="n">
        <v>-0.004</v>
      </c>
      <c r="I27" s="45" t="n">
        <v>0.0295</v>
      </c>
      <c r="J27" s="45" t="n">
        <v>0.0266</v>
      </c>
      <c r="L27" s="25">
        <f>L26*(1+G27)</f>
        <v/>
      </c>
      <c r="M27" s="25">
        <f>M26*(1+H27)</f>
        <v/>
      </c>
      <c r="N27" s="25">
        <f>N26*(1+I27)</f>
        <v/>
      </c>
      <c r="O27" s="25">
        <f>O26*(1+J27)</f>
        <v/>
      </c>
    </row>
    <row r="28">
      <c r="A28" t="inlineStr">
        <is>
          <t>2026-01-09</t>
        </is>
      </c>
      <c r="B28" t="n">
        <v>1321.3</v>
      </c>
      <c r="C28" t="n">
        <v>141.68</v>
      </c>
      <c r="D28" t="n">
        <v>364.8</v>
      </c>
      <c r="E28" t="n">
        <v>7889.58</v>
      </c>
      <c r="G28" s="45" t="n">
        <v>-0.0282</v>
      </c>
      <c r="H28" s="45" t="n">
        <v>-0.008500000000000001</v>
      </c>
      <c r="I28" s="45" t="n">
        <v>-0.0251</v>
      </c>
      <c r="J28" s="45" t="n">
        <v>-0.0207</v>
      </c>
      <c r="L28" s="25">
        <f>L27*(1+G28)</f>
        <v/>
      </c>
      <c r="M28" s="25">
        <f>M27*(1+H28)</f>
        <v/>
      </c>
      <c r="N28" s="25">
        <f>N27*(1+I28)</f>
        <v/>
      </c>
      <c r="O28" s="25">
        <f>O27*(1+J28)</f>
        <v/>
      </c>
    </row>
    <row r="29">
      <c r="A29" t="inlineStr">
        <is>
          <t>2026-01-16</t>
        </is>
      </c>
      <c r="B29" t="n">
        <v>1357.7</v>
      </c>
      <c r="C29" t="n">
        <v>142.63</v>
      </c>
      <c r="D29" t="n">
        <v>366.1</v>
      </c>
      <c r="E29" t="n">
        <v>7744.82</v>
      </c>
      <c r="F29" t="n">
        <v>68522</v>
      </c>
      <c r="G29" s="45" t="n">
        <v>0.009399999999999999</v>
      </c>
      <c r="H29" s="45" t="n">
        <v>-0.001</v>
      </c>
      <c r="I29" s="45" t="n">
        <v>-0.0035</v>
      </c>
      <c r="J29" s="45" t="n">
        <v>-0.0061</v>
      </c>
      <c r="K29" s="45" t="n">
        <v>-0.0026</v>
      </c>
      <c r="L29" s="25">
        <f>L28*(1+G29)</f>
        <v/>
      </c>
      <c r="M29" s="25">
        <f>M28*(1+H29)</f>
        <v/>
      </c>
      <c r="N29" s="25">
        <f>N28*(1+I29)</f>
        <v/>
      </c>
      <c r="O29" s="25">
        <f>O28*(1+J29)</f>
        <v/>
      </c>
    </row>
    <row r="30">
      <c r="A30" t="inlineStr">
        <is>
          <t>2026-01-23</t>
        </is>
      </c>
      <c r="B30" t="n">
        <v>1270.7</v>
      </c>
      <c r="C30" t="n">
        <v>132.96</v>
      </c>
      <c r="D30" t="n">
        <v>345.25</v>
      </c>
      <c r="E30" t="n">
        <v>7627.27</v>
      </c>
      <c r="G30" s="45" t="n">
        <v>-0.0384</v>
      </c>
      <c r="H30" s="45" t="n">
        <v>-0.0565</v>
      </c>
      <c r="I30" s="45" t="n">
        <v>-0.0228</v>
      </c>
      <c r="J30" s="45" t="n">
        <v>0.0166</v>
      </c>
      <c r="L30" s="25">
        <f>L29*(1+G30)</f>
        <v/>
      </c>
      <c r="M30" s="25">
        <f>M29*(1+H30)</f>
        <v/>
      </c>
      <c r="N30" s="25">
        <f>N29*(1+I30)</f>
        <v/>
      </c>
      <c r="O30" s="25">
        <f>O29*(1+J30)</f>
        <v/>
      </c>
    </row>
    <row r="31">
      <c r="A31" t="inlineStr">
        <is>
          <t>2026-01-30</t>
        </is>
      </c>
      <c r="B31" t="n">
        <v>1387.6</v>
      </c>
      <c r="C31" t="n">
        <v>135.38</v>
      </c>
      <c r="D31" t="n">
        <v>366.3</v>
      </c>
      <c r="E31" t="n">
        <v>7400.74</v>
      </c>
      <c r="G31" s="45" t="n">
        <v>0.012</v>
      </c>
      <c r="H31" s="45" t="n">
        <v>0.0112</v>
      </c>
      <c r="I31" s="45" t="n">
        <v>-0.0004</v>
      </c>
      <c r="J31" s="45" t="n">
        <v>-0.0311</v>
      </c>
      <c r="L31" s="25">
        <f>L30*(1+G31)</f>
        <v/>
      </c>
      <c r="M31" s="25">
        <f>M30*(1+H31)</f>
        <v/>
      </c>
      <c r="N31" s="25">
        <f>N30*(1+I31)</f>
        <v/>
      </c>
      <c r="O31" s="25">
        <f>O30*(1+J31)</f>
        <v/>
      </c>
    </row>
    <row r="32">
      <c r="A32" t="inlineStr">
        <is>
          <t>2026-02-06</t>
        </is>
      </c>
      <c r="B32" t="n">
        <v>1429</v>
      </c>
      <c r="C32" t="n">
        <v>152.74</v>
      </c>
      <c r="D32" t="n">
        <v>365.95</v>
      </c>
      <c r="E32" t="n">
        <v>8129.9</v>
      </c>
      <c r="F32" t="n">
        <v>68970.39999999999</v>
      </c>
      <c r="G32" s="45" t="n">
        <v>0.008</v>
      </c>
      <c r="H32" s="45" t="n">
        <v>-0.0046</v>
      </c>
      <c r="I32" s="45" t="n">
        <v>0.004</v>
      </c>
      <c r="J32" s="45" t="n">
        <v>0.0014</v>
      </c>
      <c r="K32" s="45" t="n">
        <v>-0.004699999999999999</v>
      </c>
      <c r="L32" s="25">
        <f>L31*(1+G32)</f>
        <v/>
      </c>
      <c r="M32" s="25">
        <f>M31*(1+H32)</f>
        <v/>
      </c>
      <c r="N32" s="25">
        <f>N31*(1+I32)</f>
        <v/>
      </c>
      <c r="O32" s="25">
        <f>O31*(1+J32)</f>
        <v/>
      </c>
    </row>
    <row r="33">
      <c r="A33" t="inlineStr">
        <is>
          <t>2026-02-13</t>
        </is>
      </c>
      <c r="B33" t="n">
        <v>1462.6</v>
      </c>
      <c r="C33" t="n">
        <v>139.9</v>
      </c>
      <c r="D33" t="n">
        <v>374.1</v>
      </c>
      <c r="E33" t="n">
        <v>7995.14</v>
      </c>
      <c r="F33" t="n">
        <v>70216.55</v>
      </c>
      <c r="G33" s="45" t="n">
        <v>0.0061</v>
      </c>
      <c r="H33" s="45" t="n">
        <v>-0.066</v>
      </c>
      <c r="I33" s="45" t="n">
        <v>-0.0169</v>
      </c>
      <c r="J33" s="45" t="n">
        <v>-0.0237</v>
      </c>
      <c r="K33" s="45" t="n">
        <v>0.005500000000000001</v>
      </c>
      <c r="L33" s="25">
        <f>L32*(1+G33)</f>
        <v/>
      </c>
      <c r="M33" s="25">
        <f>M32*(1+H33)</f>
        <v/>
      </c>
      <c r="N33" s="25">
        <f>N32*(1+I33)</f>
        <v/>
      </c>
      <c r="O33" s="25">
        <f>O32*(1+J33)</f>
        <v/>
      </c>
    </row>
    <row r="34">
      <c r="A34" t="inlineStr">
        <is>
          <t>2026-02-20</t>
        </is>
      </c>
      <c r="B34" t="n">
        <v>1528.6</v>
      </c>
      <c r="C34" t="n">
        <v>142.7</v>
      </c>
      <c r="D34" t="n">
        <v>378</v>
      </c>
      <c r="E34" t="n">
        <v>8184.25</v>
      </c>
      <c r="F34" t="n">
        <v>69453.64999999999</v>
      </c>
      <c r="G34" s="45" t="n">
        <v>0.0241</v>
      </c>
      <c r="H34" s="45" t="n">
        <v>0.016</v>
      </c>
      <c r="I34" s="45" t="n">
        <v>0.0236</v>
      </c>
      <c r="J34" s="45" t="n">
        <v>0.015</v>
      </c>
      <c r="K34" s="45" t="n">
        <v>0.0062</v>
      </c>
      <c r="L34" s="25">
        <f>L33*(1+G34)</f>
        <v/>
      </c>
      <c r="M34" s="25">
        <f>M33*(1+H34)</f>
        <v/>
      </c>
      <c r="N34" s="25">
        <f>N33*(1+I34)</f>
        <v/>
      </c>
      <c r="O34" s="25">
        <f>O33*(1+J34)</f>
        <v/>
      </c>
    </row>
    <row r="35">
      <c r="A35" t="inlineStr">
        <is>
          <t>2026-02-27</t>
        </is>
      </c>
      <c r="B35" t="n">
        <v>1566.4</v>
      </c>
      <c r="C35" t="n">
        <v>140.11</v>
      </c>
      <c r="D35" t="n">
        <v>377.55</v>
      </c>
      <c r="E35" t="n">
        <v>8277.83</v>
      </c>
      <c r="G35" s="45" t="n">
        <v>0.0008</v>
      </c>
      <c r="H35" s="45" t="n">
        <v>-0.008699999999999999</v>
      </c>
      <c r="I35" s="45" t="n">
        <v>-0.0075</v>
      </c>
      <c r="J35" s="45" t="n">
        <v>-0.0032</v>
      </c>
      <c r="L35" s="25">
        <f>L34*(1+G35)</f>
        <v/>
      </c>
      <c r="M35" s="25">
        <f>M34*(1+H35)</f>
        <v/>
      </c>
      <c r="N35" s="25">
        <f>N34*(1+I35)</f>
        <v/>
      </c>
      <c r="O35" s="25">
        <f>O34*(1+J35)</f>
        <v/>
      </c>
    </row>
    <row r="36">
      <c r="A36" t="inlineStr">
        <is>
          <t>2026-03-06</t>
        </is>
      </c>
      <c r="B36" t="n">
        <v>1481.3</v>
      </c>
      <c r="C36" t="n">
        <v>138.99</v>
      </c>
      <c r="D36" t="n">
        <v>375.5</v>
      </c>
      <c r="E36" t="n">
        <v>8075.22</v>
      </c>
      <c r="G36" s="45" t="n">
        <v>-0.015</v>
      </c>
      <c r="H36" s="45" t="n">
        <v>-0.008</v>
      </c>
      <c r="I36" s="45" t="n">
        <v>-0.0036</v>
      </c>
      <c r="J36" s="45" t="n">
        <v>-0.0014</v>
      </c>
      <c r="L36" s="25">
        <f>L35*(1+G36)</f>
        <v/>
      </c>
      <c r="M36" s="25">
        <f>M35*(1+H36)</f>
        <v/>
      </c>
      <c r="N36" s="25">
        <f>N35*(1+I36)</f>
        <v/>
      </c>
      <c r="O36" s="25">
        <f>O35*(1+J36)</f>
        <v/>
      </c>
    </row>
    <row r="37">
      <c r="A37" t="inlineStr">
        <is>
          <t>2026-03-13</t>
        </is>
      </c>
      <c r="B37" t="n">
        <v>1461.3</v>
      </c>
      <c r="C37" t="n">
        <v>146.57</v>
      </c>
      <c r="D37" t="n">
        <v>394.95</v>
      </c>
      <c r="E37" t="n">
        <v>8221.200000000001</v>
      </c>
      <c r="F37" t="n">
        <v>67227.95</v>
      </c>
      <c r="G37" s="45" t="n">
        <v>-0.0297</v>
      </c>
      <c r="H37" s="45" t="n">
        <v>-0.017</v>
      </c>
      <c r="I37" s="45" t="n">
        <v>-0.0179</v>
      </c>
      <c r="J37" s="45" t="n">
        <v>-0.0143</v>
      </c>
      <c r="K37" s="45" t="n">
        <v>0.0175</v>
      </c>
      <c r="L37" s="25">
        <f>L36*(1+G37)</f>
        <v/>
      </c>
      <c r="M37" s="25">
        <f>M36*(1+H37)</f>
        <v/>
      </c>
      <c r="N37" s="25">
        <f>N36*(1+I37)</f>
        <v/>
      </c>
      <c r="O37" s="25">
        <f>O36*(1+J37)</f>
        <v/>
      </c>
    </row>
    <row r="38">
      <c r="A38" t="inlineStr">
        <is>
          <t>2026-03-20</t>
        </is>
      </c>
      <c r="B38" t="n">
        <v>1450.7</v>
      </c>
      <c r="C38" t="n">
        <v>151.54</v>
      </c>
      <c r="D38" t="n">
        <v>402.4</v>
      </c>
      <c r="E38" t="n">
        <v>8185.49</v>
      </c>
      <c r="F38" t="n">
        <v>63573.8</v>
      </c>
      <c r="G38" s="45" t="n">
        <v>0.0026</v>
      </c>
      <c r="H38" s="45" t="n">
        <v>0.0035</v>
      </c>
      <c r="I38" s="45" t="n">
        <v>0.0098</v>
      </c>
      <c r="J38" s="45" t="n">
        <v>-0.0122</v>
      </c>
      <c r="K38" s="45" t="n">
        <v>-0.0319</v>
      </c>
      <c r="L38" s="25">
        <f>L37*(1+G38)</f>
        <v/>
      </c>
      <c r="M38" s="25">
        <f>M37*(1+H38)</f>
        <v/>
      </c>
      <c r="N38" s="25">
        <f>N37*(1+I38)</f>
        <v/>
      </c>
      <c r="O38" s="25">
        <f>O37*(1+J38)</f>
        <v/>
      </c>
    </row>
    <row r="39">
      <c r="A39" t="inlineStr">
        <is>
          <t>2026-04-10</t>
        </is>
      </c>
      <c r="B39" t="n">
        <v>1471.8</v>
      </c>
      <c r="C39" t="n">
        <v>175.81</v>
      </c>
      <c r="D39" t="n">
        <v>399.35</v>
      </c>
      <c r="E39" t="n">
        <v>8494.83</v>
      </c>
      <c r="F39" t="n">
        <v>66268.64999999999</v>
      </c>
      <c r="G39" s="45" t="n">
        <v>0.0178</v>
      </c>
      <c r="H39" s="45" t="n">
        <v>0.0202</v>
      </c>
      <c r="I39" s="45" t="n">
        <v>0.0118</v>
      </c>
      <c r="J39" s="45" t="n">
        <v>0.0068</v>
      </c>
      <c r="K39" s="45" t="n">
        <v>0.0019</v>
      </c>
      <c r="L39" s="25">
        <f>L38*(1+G39)</f>
        <v/>
      </c>
      <c r="M39" s="25">
        <f>M38*(1+H39)</f>
        <v/>
      </c>
      <c r="N39" s="25">
        <f>N38*(1+I39)</f>
        <v/>
      </c>
      <c r="O39" s="25">
        <f>O38*(1+J39)</f>
        <v/>
      </c>
    </row>
    <row r="40">
      <c r="A40" t="inlineStr">
        <is>
          <t>2026-04-17</t>
        </is>
      </c>
      <c r="B40" t="n">
        <v>1565</v>
      </c>
      <c r="C40" t="n">
        <v>198.5</v>
      </c>
      <c r="D40" t="n">
        <v>427.6</v>
      </c>
      <c r="E40" t="n">
        <v>9276.99</v>
      </c>
      <c r="G40" s="45" t="n">
        <v>0.0285</v>
      </c>
      <c r="H40" s="45" t="n">
        <v>0.0275</v>
      </c>
      <c r="I40" s="45" t="n">
        <v>0.0023</v>
      </c>
      <c r="J40" s="45" t="n">
        <v>0.0165</v>
      </c>
      <c r="L40" s="25">
        <f>L39*(1+G40)</f>
        <v/>
      </c>
      <c r="M40" s="25">
        <f>M39*(1+H40)</f>
        <v/>
      </c>
      <c r="N40" s="25">
        <f>N39*(1+I40)</f>
        <v/>
      </c>
      <c r="O40" s="25">
        <f>O39*(1+J40)</f>
        <v/>
      </c>
    </row>
    <row r="41">
      <c r="A41" t="inlineStr">
        <is>
          <t>2026-05-08</t>
        </is>
      </c>
      <c r="B41" t="n">
        <v>1724.4</v>
      </c>
      <c r="C41" t="n">
        <v>225.33</v>
      </c>
      <c r="D41" t="n">
        <v>436</v>
      </c>
      <c r="E41" t="n">
        <v>9726.110000000001</v>
      </c>
      <c r="G41" s="45" t="n">
        <v>0.0069</v>
      </c>
      <c r="H41" s="45" t="n">
        <v>-0.0211</v>
      </c>
      <c r="I41" s="45" t="n">
        <v>-0.0074</v>
      </c>
      <c r="J41" s="45" t="n">
        <v>-0.0071</v>
      </c>
      <c r="L41" s="25">
        <f>L40*(1+G41)</f>
        <v/>
      </c>
      <c r="M41" s="25">
        <f>M40*(1+H41)</f>
        <v/>
      </c>
      <c r="N41" s="25">
        <f>N40*(1+I41)</f>
        <v/>
      </c>
      <c r="O41" s="25">
        <f>O40*(1+J41)</f>
        <v/>
      </c>
    </row>
    <row r="42">
      <c r="A42" t="inlineStr">
        <is>
          <t>2026-05-15</t>
        </is>
      </c>
      <c r="B42" t="n">
        <v>1466</v>
      </c>
      <c r="C42" t="n">
        <v>221.33</v>
      </c>
      <c r="D42" t="n">
        <v>407</v>
      </c>
      <c r="E42" t="n">
        <v>9380.15</v>
      </c>
      <c r="F42" t="n">
        <v>69166.39999999999</v>
      </c>
      <c r="G42" s="45" t="n">
        <v>0.005699999999999999</v>
      </c>
      <c r="H42" s="45" t="n">
        <v>-0.0141</v>
      </c>
      <c r="I42" s="45" t="n">
        <v>-0.0021</v>
      </c>
      <c r="J42" s="45" t="n">
        <v>-0.0058</v>
      </c>
      <c r="K42" s="45" t="n">
        <v>0.008500000000000001</v>
      </c>
      <c r="L42" s="25">
        <f>L41*(1+G42)</f>
        <v/>
      </c>
      <c r="M42" s="25">
        <f>M41*(1+H42)</f>
        <v/>
      </c>
      <c r="N42" s="25">
        <f>N41*(1+I42)</f>
        <v/>
      </c>
      <c r="O42" s="25">
        <f>O41*(1+J42)</f>
        <v/>
      </c>
    </row>
    <row r="43">
      <c r="A43" t="inlineStr">
        <is>
          <t>2026-05-22</t>
        </is>
      </c>
      <c r="B43" t="n">
        <v>1498.5</v>
      </c>
      <c r="C43" t="n">
        <v>219.32</v>
      </c>
      <c r="D43" t="n">
        <v>408.9</v>
      </c>
      <c r="E43" t="n">
        <v>9345.34</v>
      </c>
      <c r="G43" s="45" t="n">
        <v>0.0048</v>
      </c>
      <c r="H43" s="45" t="n">
        <v>0</v>
      </c>
      <c r="I43" s="45" t="n">
        <v>-0.0039</v>
      </c>
      <c r="J43" s="45" t="n">
        <v>-0.004</v>
      </c>
      <c r="L43" s="25">
        <f>L42*(1+G43)</f>
        <v/>
      </c>
      <c r="M43" s="25">
        <f>M42*(1+H43)</f>
        <v/>
      </c>
      <c r="N43" s="25">
        <f>N42*(1+I43)</f>
        <v/>
      </c>
      <c r="O43" s="25">
        <f>O42*(1+J43)</f>
        <v/>
      </c>
    </row>
    <row r="44">
      <c r="A44" t="inlineStr">
        <is>
          <t>2026-05-29</t>
        </is>
      </c>
      <c r="B44" t="n">
        <v>1420.3</v>
      </c>
      <c r="C44" t="n">
        <v>243.37</v>
      </c>
      <c r="D44" t="n">
        <v>420.75</v>
      </c>
      <c r="E44" t="n">
        <v>9637.129999999999</v>
      </c>
      <c r="G44" s="45" t="n">
        <v>-0.014</v>
      </c>
      <c r="H44" s="45" t="n">
        <v>-0.0223</v>
      </c>
      <c r="I44" s="45" t="n">
        <v>-0.0119</v>
      </c>
      <c r="J44" s="45" t="n">
        <v>-0.0211</v>
      </c>
      <c r="L44" s="25">
        <f>L43*(1+G44)</f>
        <v/>
      </c>
      <c r="M44" s="25">
        <f>M43*(1+H44)</f>
        <v/>
      </c>
      <c r="N44" s="25">
        <f>N43*(1+I44)</f>
        <v/>
      </c>
      <c r="O44" s="25">
        <f>O43*(1+J44)</f>
        <v/>
      </c>
    </row>
    <row r="45">
      <c r="A45" t="inlineStr">
        <is>
          <t>2026-06-05</t>
        </is>
      </c>
      <c r="B45" t="n">
        <v>1460.1</v>
      </c>
      <c r="C45" t="n">
        <v>232.6</v>
      </c>
      <c r="D45" t="n">
        <v>409.2</v>
      </c>
      <c r="E45" t="n">
        <v>9426.190000000001</v>
      </c>
      <c r="G45" s="45" t="n">
        <v>0.014</v>
      </c>
      <c r="H45" s="45" t="n">
        <v>0.0112</v>
      </c>
      <c r="I45" s="45" t="n">
        <v>-0.0039</v>
      </c>
      <c r="J45" s="45" t="n">
        <v>0.008199999999999999</v>
      </c>
      <c r="L45" s="25">
        <f>L44*(1+G45)</f>
        <v/>
      </c>
      <c r="M45" s="25">
        <f>M44*(1+H45)</f>
        <v/>
      </c>
      <c r="N45" s="25">
        <f>N44*(1+I45)</f>
        <v/>
      </c>
      <c r="O45" s="25">
        <f>O44*(1+J45)</f>
        <v/>
      </c>
    </row>
    <row r="46">
      <c r="A46" t="inlineStr">
        <is>
          <t>2026-06-12</t>
        </is>
      </c>
      <c r="B46" t="n">
        <v>1392</v>
      </c>
      <c r="C46" t="n">
        <v>223.07</v>
      </c>
      <c r="D46" t="n">
        <v>393.55</v>
      </c>
      <c r="E46" t="n">
        <v>9140.51</v>
      </c>
      <c r="G46" s="45" t="n">
        <v>0.0114</v>
      </c>
      <c r="H46" s="45" t="n">
        <v>0.0351</v>
      </c>
      <c r="I46" s="45" t="n">
        <v>0.008500000000000001</v>
      </c>
      <c r="J46" s="45" t="n">
        <v>0.0137</v>
      </c>
      <c r="L46" s="25">
        <f>L45*(1+G46)</f>
        <v/>
      </c>
      <c r="M46" s="25">
        <f>M45*(1+H46)</f>
        <v/>
      </c>
      <c r="N46" s="25">
        <f>N45*(1+I46)</f>
        <v/>
      </c>
      <c r="O46" s="25">
        <f>O45*(1+J46)</f>
        <v/>
      </c>
    </row>
    <row r="48">
      <c r="A48" s="46" t="inlineStr">
        <is>
          <t>Nifty Next 50 — full supplied series (sparse/irregular, NOT weekly-aligned to the grid above; used for its own period stats and, where dates coincide, the beta calc on Sheet 11)</t>
        </is>
      </c>
    </row>
    <row r="49">
      <c r="A49" s="10" t="inlineStr">
        <is>
          <t>Date</t>
        </is>
      </c>
      <c r="B49" s="10" t="inlineStr">
        <is>
          <t>Nifty Next 50 Close</t>
        </is>
      </c>
      <c r="C49" s="10" t="inlineStr">
        <is>
          <t>Return (as given, sourced)</t>
        </is>
      </c>
    </row>
    <row r="50">
      <c r="A50" t="inlineStr">
        <is>
          <t>2025-06-30</t>
        </is>
      </c>
      <c r="B50" s="21" t="n">
        <v>68998.2</v>
      </c>
      <c r="C50" s="45" t="n">
        <v>0.0042</v>
      </c>
    </row>
    <row r="51">
      <c r="A51" t="inlineStr">
        <is>
          <t>2025-07-07</t>
        </is>
      </c>
      <c r="B51" s="21" t="n">
        <v>68725.8</v>
      </c>
      <c r="C51" s="45" t="n">
        <v>0.0017</v>
      </c>
    </row>
    <row r="52">
      <c r="A52" t="inlineStr">
        <is>
          <t>2025-07-17</t>
        </is>
      </c>
      <c r="B52" s="21" t="n">
        <v>68711.45</v>
      </c>
      <c r="C52" s="45" t="n">
        <v>-0.0023</v>
      </c>
    </row>
    <row r="53">
      <c r="A53" t="inlineStr">
        <is>
          <t>2025-07-24</t>
        </is>
      </c>
      <c r="B53" s="21" t="n">
        <v>68207.3</v>
      </c>
      <c r="C53" s="45" t="n">
        <v>-0.0023</v>
      </c>
    </row>
    <row r="54">
      <c r="A54" t="inlineStr">
        <is>
          <t>2025-08-07</t>
        </is>
      </c>
      <c r="B54" s="21" t="n">
        <v>66338.10000000001</v>
      </c>
      <c r="C54" s="45" t="n">
        <v>0.0024</v>
      </c>
    </row>
    <row r="55">
      <c r="A55" t="inlineStr">
        <is>
          <t>2025-08-26</t>
        </is>
      </c>
      <c r="B55" s="21" t="n">
        <v>66800.35000000001</v>
      </c>
      <c r="C55" s="45" t="n">
        <v>-0.0135</v>
      </c>
    </row>
    <row r="56">
      <c r="A56" t="inlineStr">
        <is>
          <t>2025-09-02</t>
        </is>
      </c>
      <c r="B56" s="21" t="n">
        <v>67017.75</v>
      </c>
      <c r="C56" s="45" t="n">
        <v>0.0052</v>
      </c>
    </row>
    <row r="57">
      <c r="A57" t="inlineStr">
        <is>
          <t>2025-09-18</t>
        </is>
      </c>
      <c r="B57" s="21" t="n">
        <v>69334.3</v>
      </c>
      <c r="C57" s="45" t="n">
        <v>0.0027</v>
      </c>
    </row>
    <row r="58">
      <c r="A58" t="inlineStr">
        <is>
          <t>2025-10-14</t>
        </is>
      </c>
      <c r="B58" s="21" t="n">
        <v>68207.85000000001</v>
      </c>
      <c r="C58" s="45" t="n">
        <v>-0.0053</v>
      </c>
    </row>
    <row r="59">
      <c r="A59" t="inlineStr">
        <is>
          <t>2025-10-16</t>
        </is>
      </c>
      <c r="B59" s="21" t="n">
        <v>69453.2</v>
      </c>
      <c r="C59" s="45" t="n">
        <v>0.0049</v>
      </c>
    </row>
    <row r="60">
      <c r="A60" t="inlineStr">
        <is>
          <t>2025-10-24</t>
        </is>
      </c>
      <c r="B60" s="21" t="n">
        <v>69355.89999999999</v>
      </c>
      <c r="C60" s="45" t="n">
        <v>-0.0011</v>
      </c>
    </row>
    <row r="61">
      <c r="A61" t="inlineStr">
        <is>
          <t>2025-10-31</t>
        </is>
      </c>
      <c r="B61" s="21" t="n">
        <v>69824.75</v>
      </c>
      <c r="C61" s="45" t="n">
        <v>-0.0037</v>
      </c>
    </row>
    <row r="62">
      <c r="A62" t="inlineStr">
        <is>
          <t>2025-11-06</t>
        </is>
      </c>
      <c r="B62" s="21" t="n">
        <v>69299.55</v>
      </c>
      <c r="C62" s="45" t="n">
        <v>-0.0124</v>
      </c>
    </row>
    <row r="63">
      <c r="A63" t="inlineStr">
        <is>
          <t>2025-11-19</t>
        </is>
      </c>
      <c r="B63" s="21" t="n">
        <v>69635.85000000001</v>
      </c>
      <c r="C63" s="45" t="n">
        <v>-0.0001</v>
      </c>
    </row>
    <row r="64">
      <c r="A64" t="inlineStr">
        <is>
          <t>2025-11-21</t>
        </is>
      </c>
      <c r="B64" s="21" t="n">
        <v>68669.14999999999</v>
      </c>
      <c r="C64" s="45" t="n">
        <v>-0.0129</v>
      </c>
    </row>
    <row r="65">
      <c r="A65" t="inlineStr">
        <is>
          <t>2025-11-24</t>
        </is>
      </c>
      <c r="B65" s="21" t="n">
        <v>67997.45</v>
      </c>
      <c r="C65" s="45" t="n">
        <v>-0.0098</v>
      </c>
    </row>
    <row r="66">
      <c r="A66" t="inlineStr">
        <is>
          <t>2025-11-25</t>
        </is>
      </c>
      <c r="B66" s="21" t="n">
        <v>68172.45</v>
      </c>
      <c r="C66" s="45" t="n">
        <v>0.0026</v>
      </c>
    </row>
    <row r="67">
      <c r="A67" t="inlineStr">
        <is>
          <t>2025-12-23</t>
        </is>
      </c>
      <c r="B67" s="21" t="n">
        <v>69096.3</v>
      </c>
      <c r="C67" s="45" t="n">
        <v>0.0037</v>
      </c>
    </row>
    <row r="68">
      <c r="A68" t="inlineStr">
        <is>
          <t>2026-01-13</t>
        </is>
      </c>
      <c r="B68" s="21" t="n">
        <v>68522</v>
      </c>
      <c r="C68" s="45" t="n">
        <v>-0.0026</v>
      </c>
    </row>
    <row r="69">
      <c r="A69" t="inlineStr">
        <is>
          <t>2026-02-02</t>
        </is>
      </c>
      <c r="B69" s="21" t="n">
        <v>67073.2</v>
      </c>
      <c r="C69" s="45" t="n">
        <v>0.0107</v>
      </c>
    </row>
    <row r="70">
      <c r="A70" t="inlineStr">
        <is>
          <t>2026-02-05</t>
        </is>
      </c>
      <c r="B70" s="21" t="n">
        <v>68970.39999999999</v>
      </c>
      <c r="C70" s="45" t="n">
        <v>-0.004699999999999999</v>
      </c>
    </row>
    <row r="71">
      <c r="A71" t="inlineStr">
        <is>
          <t>2026-02-11</t>
        </is>
      </c>
      <c r="B71" s="21" t="n">
        <v>70216.55</v>
      </c>
      <c r="C71" s="45" t="n">
        <v>0.005500000000000001</v>
      </c>
    </row>
    <row r="72">
      <c r="A72" t="inlineStr">
        <is>
          <t>2026-02-20</t>
        </is>
      </c>
      <c r="B72" s="21" t="n">
        <v>69453.64999999999</v>
      </c>
      <c r="C72" s="45" t="n">
        <v>0.0062</v>
      </c>
    </row>
    <row r="73">
      <c r="A73" t="inlineStr">
        <is>
          <t>2026-03-10</t>
        </is>
      </c>
      <c r="B73" s="21" t="n">
        <v>67227.95</v>
      </c>
      <c r="C73" s="45" t="n">
        <v>0.0175</v>
      </c>
    </row>
    <row r="74">
      <c r="A74" t="inlineStr">
        <is>
          <t>2026-03-16</t>
        </is>
      </c>
      <c r="B74" s="21" t="n">
        <v>64462.3</v>
      </c>
      <c r="C74" s="45" t="n">
        <v>-0.0035</v>
      </c>
    </row>
    <row r="75">
      <c r="A75" t="inlineStr">
        <is>
          <t>2026-03-19</t>
        </is>
      </c>
      <c r="B75" s="21" t="n">
        <v>63573.8</v>
      </c>
      <c r="C75" s="45" t="n">
        <v>-0.0319</v>
      </c>
    </row>
    <row r="76">
      <c r="A76" t="inlineStr">
        <is>
          <t>2026-04-09</t>
        </is>
      </c>
      <c r="B76" s="21" t="n">
        <v>66268.64999999999</v>
      </c>
      <c r="C76" s="45" t="n">
        <v>0.0019</v>
      </c>
    </row>
    <row r="77">
      <c r="A77" t="inlineStr">
        <is>
          <t>2026-05-13</t>
        </is>
      </c>
      <c r="B77" s="21" t="n">
        <v>69166.39999999999</v>
      </c>
      <c r="C77" s="45" t="n">
        <v>0.008500000000000001</v>
      </c>
    </row>
    <row r="78">
      <c r="A78" t="inlineStr">
        <is>
          <t>2026-06-16</t>
        </is>
      </c>
      <c r="B78" s="21" t="n">
        <v>71798.64999999999</v>
      </c>
      <c r="C78" s="45" t="n">
        <v>0.0016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9" t="inlineStr">
        <is>
          <t>07-Jul-2025</t>
        </is>
      </c>
      <c r="B6" s="19" t="inlineStr">
        <is>
          <t>Completed acquisition of Vidarbha Industries Power Ltd (600 MW) — total capacity to 18,150 MW</t>
        </is>
      </c>
      <c r="C6" s="32" t="inlineStr">
        <is>
          <t>Not quantified in sources found</t>
        </is>
      </c>
      <c r="D6" s="19" t="inlineStr"/>
    </row>
    <row r="7" ht="45" customHeight="1">
      <c r="A7" s="19" t="inlineStr">
        <is>
          <t>01-Aug-2025</t>
        </is>
      </c>
      <c r="B7" s="19" t="inlineStr">
        <is>
          <t>Q1 FY26 results: PAT ₹3,305 cr (down 15.5% YoY); 1:5 stock split announced</t>
        </is>
      </c>
      <c r="C7" s="32" t="inlineStr">
        <is>
          <t>Not quantified</t>
        </is>
      </c>
      <c r="D7" s="19" t="inlineStr"/>
    </row>
    <row r="8" ht="45" customHeight="1">
      <c r="A8" s="19" t="inlineStr">
        <is>
          <t>Sep-2025</t>
        </is>
      </c>
      <c r="B8" s="19" t="inlineStr">
        <is>
          <t>Adani Power–Druk Green (Bhutan) Shareholders Agreement — 570 MW Wangchhu hydro (~₹6,000 cr)</t>
        </is>
      </c>
      <c r="C8" s="32" t="inlineStr">
        <is>
          <t>Not quantified</t>
        </is>
      </c>
      <c r="D8" s="19" t="inlineStr"/>
    </row>
    <row r="9" ht="45" customHeight="1">
      <c r="A9" s="19" t="inlineStr">
        <is>
          <t>22-Sep-2025</t>
        </is>
      </c>
      <c r="B9" s="19" t="inlineStr">
        <is>
          <t>1:5 stock split effective (face value ₹10→₹2)</t>
        </is>
      </c>
      <c r="C9" s="19" t="inlineStr">
        <is>
          <t>Mechanical price adjustment (~1/5th), not a market reaction</t>
        </is>
      </c>
      <c r="D9" s="19" t="inlineStr"/>
    </row>
    <row r="10" ht="45" customHeight="1">
      <c r="A10" s="19" t="inlineStr">
        <is>
          <t>30-Oct-2025</t>
        </is>
      </c>
      <c r="B10" s="19" t="inlineStr">
        <is>
          <t>Q2 FY26 results: PAT ~₹2,906-2,953 cr (down ~11-12% YoY); secured 4.5 GW new long-term PPAs</t>
        </is>
      </c>
      <c r="C10" s="32" t="inlineStr">
        <is>
          <t>Not quantified</t>
        </is>
      </c>
      <c r="D10" s="19" t="inlineStr"/>
    </row>
    <row r="11" ht="45" customHeight="1">
      <c r="A11" s="19" t="inlineStr">
        <is>
          <t>14-Nov-2025</t>
        </is>
      </c>
      <c r="B11" s="19" t="inlineStr">
        <is>
          <t>Letter of Award — 3,200 MW Assam UMPP (~₹48,000 cr investment, DBFOO)</t>
        </is>
      </c>
      <c r="C11" s="19" t="inlineStr">
        <is>
          <t>'Share price surge reported' (source did not quantify %)</t>
        </is>
      </c>
      <c r="D11" s="19" t="inlineStr"/>
    </row>
    <row r="12" ht="45" customHeight="1">
      <c r="A12" s="19" t="inlineStr">
        <is>
          <t>Nov-2025</t>
        </is>
      </c>
      <c r="B12" s="19" t="inlineStr">
        <is>
          <t>24% stake in Jaiprakash Power Ventures via ₹14,535 cr resolution plan — creditors approved (89% votes)</t>
        </is>
      </c>
      <c r="C12" s="19" t="inlineStr">
        <is>
          <t>JP Power (the target) stock jumped ~29% in two days — Adani Power's own reaction not quantified in sources found</t>
        </is>
      </c>
      <c r="D12" s="19" t="inlineStr"/>
    </row>
    <row r="13" ht="45" customHeight="1">
      <c r="A13" s="19" t="inlineStr">
        <is>
          <t>05-Jan-2026</t>
        </is>
      </c>
      <c r="B13" s="19" t="inlineStr">
        <is>
          <t>News coverage: stock up ~40% over trailing 12 months</t>
        </is>
      </c>
      <c r="C13" s="19" t="inlineStr">
        <is>
          <t>+40% (12-mo, as reported that day)</t>
        </is>
      </c>
      <c r="D13" s="19" t="inlineStr">
        <is>
          <t>146.20</t>
        </is>
      </c>
    </row>
    <row r="14" ht="45" customHeight="1">
      <c r="A14" s="19" t="inlineStr">
        <is>
          <t>11-Feb-2026</t>
        </is>
      </c>
      <c r="B14" s="19" t="inlineStr">
        <is>
          <t>Incorporation of Adani Atomic Energy Ltd — entry into nuclear power</t>
        </is>
      </c>
      <c r="C14" s="32" t="inlineStr">
        <is>
          <t>Not quantified</t>
        </is>
      </c>
      <c r="D14" s="19" t="inlineStr"/>
    </row>
    <row r="15" ht="45" customHeight="1">
      <c r="A15" s="19" t="inlineStr">
        <is>
          <t>~Mar-2026</t>
        </is>
      </c>
      <c r="B15" s="19" t="inlineStr">
        <is>
          <t>NCLT approval of Jaiprakash Power Ventures resolution plan</t>
        </is>
      </c>
      <c r="C15" s="32" t="inlineStr">
        <is>
          <t>Not quantified</t>
        </is>
      </c>
      <c r="D15" s="19" t="inlineStr"/>
    </row>
    <row r="16" ht="45" customHeight="1">
      <c r="A16" s="19" t="inlineStr">
        <is>
          <t>29-Apr-2026</t>
        </is>
      </c>
      <c r="B16" s="19" t="inlineStr">
        <is>
          <t>Q4/FY26 results: Q4 PAT ₹4,271 cr (+64% YoY); FY26 PAT ₹12,971 cr vs ₹12,750 cr FY25</t>
        </is>
      </c>
      <c r="C16" s="32" t="inlineStr">
        <is>
          <t>Not quantified</t>
        </is>
      </c>
      <c r="D16" s="19" t="inlineStr"/>
    </row>
    <row r="17" ht="45" customHeight="1">
      <c r="A17" s="19" t="inlineStr">
        <is>
          <t>05-May-2026</t>
        </is>
      </c>
      <c r="B17" s="19" t="inlineStr">
        <is>
          <t>Stock hits 52-week high, intraday</t>
        </is>
      </c>
      <c r="C17" s="19" t="inlineStr">
        <is>
          <t>Record high reached</t>
        </is>
      </c>
      <c r="D17" s="19" t="inlineStr">
        <is>
          <t>234.35</t>
        </is>
      </c>
    </row>
    <row r="18" ht="45" customHeight="1">
      <c r="A18" s="19" t="inlineStr">
        <is>
          <t>22-May-2026</t>
        </is>
      </c>
      <c r="B18" s="19" t="inlineStr">
        <is>
          <t>Profit-booking reported post ~100% 1-year return</t>
        </is>
      </c>
      <c r="C18" s="19" t="inlineStr">
        <is>
          <t>~6% off high; ~100% 1-yr return cited that day</t>
        </is>
      </c>
      <c r="D18" s="19" t="inlineStr">
        <is>
          <t>~220.00</t>
        </is>
      </c>
    </row>
    <row r="19" ht="45" customHeight="1">
      <c r="A19" s="19" t="inlineStr">
        <is>
          <t>13-Jul-2026</t>
        </is>
      </c>
      <c r="B19" s="19" t="inlineStr">
        <is>
          <t>Filing on encumbrance/non-disposal undertaking re: Jaiprakash Power shares (in role as JPVL implementing entity)</t>
        </is>
      </c>
      <c r="C19" s="32" t="inlineStr">
        <is>
          <t>Not quantified</t>
        </is>
      </c>
      <c r="D19" s="19"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2025-06-27</t>
        </is>
      </c>
      <c r="B2" t="n">
        <v>116.87</v>
      </c>
    </row>
    <row r="3">
      <c r="A3" t="inlineStr">
        <is>
          <t>2025-07-04</t>
        </is>
      </c>
      <c r="B3" t="n">
        <v>116.96</v>
      </c>
    </row>
    <row r="4">
      <c r="A4" t="inlineStr">
        <is>
          <t>2025-07-11</t>
        </is>
      </c>
      <c r="B4" t="n">
        <v>120.79</v>
      </c>
    </row>
    <row r="5">
      <c r="A5" t="inlineStr">
        <is>
          <t>2025-07-18</t>
        </is>
      </c>
      <c r="B5" t="n">
        <v>118.93</v>
      </c>
    </row>
    <row r="6">
      <c r="A6" t="inlineStr">
        <is>
          <t>2025-07-25</t>
        </is>
      </c>
      <c r="B6" t="n">
        <v>114</v>
      </c>
    </row>
    <row r="7">
      <c r="A7" t="inlineStr">
        <is>
          <t>2025-08-01</t>
        </is>
      </c>
      <c r="B7" t="n">
        <v>113.4</v>
      </c>
      <c r="C7" t="inlineStr">
        <is>
          <t>Q1 FY26 results + 1:5 split announced</t>
        </is>
      </c>
    </row>
    <row r="8">
      <c r="A8" t="inlineStr">
        <is>
          <t>2025-08-22</t>
        </is>
      </c>
      <c r="B8" t="n">
        <v>118.86</v>
      </c>
    </row>
    <row r="9">
      <c r="A9" t="inlineStr">
        <is>
          <t>2025-08-29</t>
        </is>
      </c>
      <c r="B9" t="n">
        <v>120.13</v>
      </c>
    </row>
    <row r="10">
      <c r="A10" t="inlineStr">
        <is>
          <t>2025-09-05</t>
        </is>
      </c>
      <c r="B10" t="n">
        <v>121.94</v>
      </c>
    </row>
    <row r="11">
      <c r="A11" t="inlineStr">
        <is>
          <t>2025-09-12</t>
        </is>
      </c>
      <c r="B11" t="n">
        <v>129.71</v>
      </c>
    </row>
    <row r="12">
      <c r="A12" t="inlineStr">
        <is>
          <t>2025-09-19</t>
        </is>
      </c>
      <c r="B12" t="n">
        <v>141.88</v>
      </c>
      <c r="C12" t="inlineStr">
        <is>
          <t>1:5 stock split effective</t>
        </is>
      </c>
    </row>
    <row r="13">
      <c r="A13" t="inlineStr">
        <is>
          <t>2025-09-26</t>
        </is>
      </c>
      <c r="B13" t="n">
        <v>146.25</v>
      </c>
      <c r="C13" t="inlineStr">
        <is>
          <t>1:5 stock split effective</t>
        </is>
      </c>
    </row>
    <row r="14">
      <c r="A14" t="inlineStr">
        <is>
          <t>2025-10-03</t>
        </is>
      </c>
      <c r="B14" t="n">
        <v>147.38</v>
      </c>
    </row>
    <row r="15">
      <c r="A15" t="inlineStr">
        <is>
          <t>2025-10-10</t>
        </is>
      </c>
      <c r="B15" t="n">
        <v>149.7</v>
      </c>
    </row>
    <row r="16">
      <c r="A16" t="inlineStr">
        <is>
          <t>2025-10-17</t>
        </is>
      </c>
      <c r="B16" t="n">
        <v>165.98</v>
      </c>
    </row>
    <row r="17">
      <c r="A17" t="inlineStr">
        <is>
          <t>2025-10-24</t>
        </is>
      </c>
      <c r="B17" t="n">
        <v>167.72</v>
      </c>
      <c r="C17" t="inlineStr">
        <is>
          <t>Q2 FY26 results; 4.5 GW new PPAs</t>
        </is>
      </c>
    </row>
    <row r="18">
      <c r="A18" t="inlineStr">
        <is>
          <t>2025-10-31</t>
        </is>
      </c>
      <c r="B18" t="n">
        <v>157.85</v>
      </c>
      <c r="C18" t="inlineStr">
        <is>
          <t>Q2 FY26 results; 4.5 GW new PPAs</t>
        </is>
      </c>
    </row>
    <row r="19">
      <c r="A19" t="inlineStr">
        <is>
          <t>2025-11-07</t>
        </is>
      </c>
      <c r="B19" t="n">
        <v>151.48</v>
      </c>
    </row>
    <row r="20">
      <c r="A20" t="inlineStr">
        <is>
          <t>2025-11-14</t>
        </is>
      </c>
      <c r="B20" t="n">
        <v>153.91</v>
      </c>
      <c r="C20" t="inlineStr">
        <is>
          <t>Assam 3,200 MW LoA (~₹48,000cr)</t>
        </is>
      </c>
    </row>
    <row r="21">
      <c r="A21" t="inlineStr">
        <is>
          <t>2025-11-21</t>
        </is>
      </c>
      <c r="B21" t="n">
        <v>149.12</v>
      </c>
      <c r="C21" t="inlineStr">
        <is>
          <t>JPVL resolution plan creditor approval</t>
        </is>
      </c>
    </row>
    <row r="22">
      <c r="A22" t="inlineStr">
        <is>
          <t>2025-11-28</t>
        </is>
      </c>
      <c r="B22" t="n">
        <v>147.49</v>
      </c>
    </row>
    <row r="23">
      <c r="A23" t="inlineStr">
        <is>
          <t>2025-12-05</t>
        </is>
      </c>
      <c r="B23" t="n">
        <v>143.78</v>
      </c>
    </row>
    <row r="24">
      <c r="A24" t="inlineStr">
        <is>
          <t>2025-12-12</t>
        </is>
      </c>
      <c r="B24" t="n">
        <v>144.49</v>
      </c>
    </row>
    <row r="25">
      <c r="A25" t="inlineStr">
        <is>
          <t>2025-12-19</t>
        </is>
      </c>
      <c r="B25" t="n">
        <v>141.76</v>
      </c>
    </row>
    <row r="26">
      <c r="A26" t="inlineStr">
        <is>
          <t>2025-12-26</t>
        </is>
      </c>
      <c r="B26" t="n">
        <v>142.19</v>
      </c>
    </row>
    <row r="27">
      <c r="A27" t="inlineStr">
        <is>
          <t>2026-01-02</t>
        </is>
      </c>
      <c r="B27" t="n">
        <v>148.17</v>
      </c>
    </row>
    <row r="28">
      <c r="A28" t="inlineStr">
        <is>
          <t>2026-01-09</t>
        </is>
      </c>
      <c r="B28" t="n">
        <v>141.68</v>
      </c>
    </row>
    <row r="29">
      <c r="A29" t="inlineStr">
        <is>
          <t>2026-01-16</t>
        </is>
      </c>
      <c r="B29" t="n">
        <v>142.63</v>
      </c>
    </row>
    <row r="30">
      <c r="A30" t="inlineStr">
        <is>
          <t>2026-01-23</t>
        </is>
      </c>
      <c r="B30" t="n">
        <v>132.96</v>
      </c>
    </row>
    <row r="31">
      <c r="A31" t="inlineStr">
        <is>
          <t>2026-01-30</t>
        </is>
      </c>
      <c r="B31" t="n">
        <v>135.38</v>
      </c>
    </row>
    <row r="32">
      <c r="A32" t="inlineStr">
        <is>
          <t>2026-02-06</t>
        </is>
      </c>
      <c r="B32" t="n">
        <v>152.74</v>
      </c>
      <c r="C32" t="inlineStr">
        <is>
          <t>Adani Atomic Energy incorporated</t>
        </is>
      </c>
    </row>
    <row r="33">
      <c r="A33" t="inlineStr">
        <is>
          <t>2026-02-13</t>
        </is>
      </c>
      <c r="B33" t="n">
        <v>139.9</v>
      </c>
      <c r="C33" t="inlineStr">
        <is>
          <t>Adani Atomic Energy incorporated</t>
        </is>
      </c>
    </row>
    <row r="34">
      <c r="A34" t="inlineStr">
        <is>
          <t>2026-02-20</t>
        </is>
      </c>
      <c r="B34" t="n">
        <v>142.7</v>
      </c>
    </row>
    <row r="35">
      <c r="A35" t="inlineStr">
        <is>
          <t>2026-02-27</t>
        </is>
      </c>
      <c r="B35" t="n">
        <v>140.11</v>
      </c>
    </row>
    <row r="36">
      <c r="A36" t="inlineStr">
        <is>
          <t>2026-03-06</t>
        </is>
      </c>
      <c r="B36" t="n">
        <v>138.99</v>
      </c>
    </row>
    <row r="37">
      <c r="A37" t="inlineStr">
        <is>
          <t>2026-03-13</t>
        </is>
      </c>
      <c r="B37" t="n">
        <v>146.57</v>
      </c>
      <c r="C37" t="inlineStr">
        <is>
          <t>NCLT approves JPVL plan</t>
        </is>
      </c>
    </row>
    <row r="38">
      <c r="A38" t="inlineStr">
        <is>
          <t>2026-03-20</t>
        </is>
      </c>
      <c r="B38" t="n">
        <v>151.54</v>
      </c>
    </row>
    <row r="39">
      <c r="A39" t="inlineStr">
        <is>
          <t>2026-04-10</t>
        </is>
      </c>
      <c r="B39" t="n">
        <v>175.81</v>
      </c>
    </row>
    <row r="40">
      <c r="A40" t="inlineStr">
        <is>
          <t>2026-04-17</t>
        </is>
      </c>
      <c r="B40" t="n">
        <v>198.5</v>
      </c>
    </row>
    <row r="41">
      <c r="A41" t="inlineStr">
        <is>
          <t>2026-05-08</t>
        </is>
      </c>
      <c r="B41" t="n">
        <v>225.33</v>
      </c>
      <c r="C41" t="inlineStr">
        <is>
          <t>52-wk high ₹234 intraday</t>
        </is>
      </c>
    </row>
    <row r="42">
      <c r="A42" t="inlineStr">
        <is>
          <t>2026-05-15</t>
        </is>
      </c>
      <c r="B42" t="n">
        <v>221.33</v>
      </c>
    </row>
    <row r="43">
      <c r="A43" t="inlineStr">
        <is>
          <t>2026-05-22</t>
        </is>
      </c>
      <c r="B43" t="n">
        <v>219.32</v>
      </c>
      <c r="C43" t="inlineStr">
        <is>
          <t>Profit-booking after ~100% 1-yr run</t>
        </is>
      </c>
    </row>
    <row r="44">
      <c r="A44" t="inlineStr">
        <is>
          <t>2026-05-29</t>
        </is>
      </c>
      <c r="B44" t="n">
        <v>243.37</v>
      </c>
    </row>
    <row r="45">
      <c r="A45" t="inlineStr">
        <is>
          <t>2026-06-05</t>
        </is>
      </c>
      <c r="B45" t="n">
        <v>232.6</v>
      </c>
    </row>
    <row r="46">
      <c r="A46" t="inlineStr">
        <is>
          <t>2026-06-12</t>
        </is>
      </c>
      <c r="B46" t="n">
        <v>223.07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 from Operations, PAT and Total Assets series (Sheet 2, Raw_Data_Consolidated), the Ind AS 108 segment tables (Sheet 6), the AOC-1 group structure (Sheets 7-8) and the Investments detail (Sheet 9) are all PRIMARY-VERIFIED from the audited Annual Reports stored in this repo. LATEST UPDATE: Sheets 2-4 (raw data, growth, asset turnover, sales/employee, acquisitions) were rebuilt to STRICTLY follow a teammate's independently cross-verified raw-data extract — see the Raw_Data_Consolidated sheet's basis notes for the two methodology changes this introduced (Sales = Revenue from Operations, not Total Income; Employees = BRSR 'Total Employees (D+E)', not Rule 5(1) permanent-only). A handful of FY-end share-price cells in Sheet 2 remain genuinely unfilled (Adani FY22-24, Tata FY24) — see each cell's comment for exact NSE/Yahoo lookup instructions.</t>
        </is>
      </c>
    </row>
    <row r="7"/>
    <row r="8"/>
    <row r="9"/>
    <row r="10"/>
    <row r="11"/>
    <row r="13">
      <c r="A13" s="47"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BRSR 'Total Employees (D+E)'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9" t="inlineStr">
        <is>
          <t>Business overview &amp; market (Sheet 1)</t>
        </is>
      </c>
      <c r="B6" s="19" t="inlineStr">
        <is>
          <t>Company Integrated Annual Reports FY25-26 (all 3 companies): AR_29298_ADANIPOWER, AR_29380_TATAPOWER, AR_29704_TORNTPOWER</t>
        </is>
      </c>
      <c r="C6" s="19" t="inlineStr">
        <is>
          <t>Corporate Overview &amp; Management Discussion and Analysis (MD&amp;A) sections; capacity figures from company press releases via Business Standard / BusinessToday coverage</t>
        </is>
      </c>
      <c r="D6" s="19" t="inlineStr">
        <is>
          <t>Primary + named secondary</t>
        </is>
      </c>
    </row>
    <row r="7" ht="68" customHeight="1">
      <c r="A7" s="19" t="inlineStr">
        <is>
          <t>Revenue from Operations, PAT, Total Assets, Employees, FY21-FY26 (Raw_Data_Consolidated, feeds Sheets 2-4)</t>
        </is>
      </c>
      <c r="B7" s="19"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9" t="inlineStr">
        <is>
          <t>Consolidated Balance Sheet, Consolidated Statement of Profit and Loss ('Revenue from Operations' line, not Total Income), and BRSR 'Total Employees (D+E)' table, each report (current year + prior-year comparative column, cross-checked twice). STRICTLY adopts a teammate's independently cross-verified raw-data extract — see Raw_Data_Consolidated's basis notes.</t>
        </is>
      </c>
      <c r="D7" s="19" t="inlineStr">
        <is>
          <t>VERIFIED primary</t>
        </is>
      </c>
    </row>
    <row r="8" ht="68" customHeight="1">
      <c r="A8" s="19" t="inlineStr">
        <is>
          <t>Full Balance Sheet / P&amp;L line items (Adani_BS/PL, Tata_BS/PL, Torrent_BS/PL sheets)</t>
        </is>
      </c>
      <c r="B8" s="19" t="inlineStr">
        <is>
          <t>Same Annual Report PDFs as above</t>
        </is>
      </c>
      <c r="C8" s="19" t="inlineStr">
        <is>
          <t>Consolidated Balance Sheet / Consolidated Statement of Profit and Loss, line by line; all subtotals are live Excel formulas over these line items</t>
        </is>
      </c>
      <c r="D8" s="19" t="inlineStr">
        <is>
          <t>VERIFIED primary</t>
        </is>
      </c>
    </row>
    <row r="9" ht="68" customHeight="1">
      <c r="A9" s="19" t="inlineStr">
        <is>
          <t>Employee headcount (Raw_Data_Consolidated, Sheets 2-3)</t>
        </is>
      </c>
      <c r="B9" s="19" t="inlineStr">
        <is>
          <t>Same Annual Report PDFs</t>
        </is>
      </c>
      <c r="C9" s="19" t="inlineStr">
        <is>
          <t>Business Responsibility &amp; Sustainability Report (BRSR) 'Employees' table — 'Total Employees (D+E)' = permanent + other-than-permanent, standalone reporting entity (standalone-entity disclosure by law; BRSR not mandatory for all 3 companies in every year, so shown only where actually disclosed)</t>
        </is>
      </c>
      <c r="D9" s="19" t="inlineStr">
        <is>
          <t>VERIFIED primary (standalone basis)</t>
        </is>
      </c>
    </row>
    <row r="10" ht="68" customHeight="1">
      <c r="A10" s="19" t="inlineStr">
        <is>
          <t>Segment data FY22-FY26 (Sheet 6)</t>
        </is>
      </c>
      <c r="B10" s="19" t="inlineStr">
        <is>
          <t>Same Annual Report PDFs</t>
        </is>
      </c>
      <c r="C10" s="19" t="inlineStr">
        <is>
          <t>Notes to Consolidated Financial Statements — 'Segment Reporting' / 'Operating Segments' note (Ind AS 108); e.g. Note 62 (Adani FY23), Note 46 (Tata FY23), Note 53/54 (Torrent FY23 — 'no reportable segment' statement)</t>
        </is>
      </c>
      <c r="D10" s="19" t="inlineStr">
        <is>
          <t>VERIFIED primary</t>
        </is>
      </c>
    </row>
    <row r="11" ht="68" customHeight="1">
      <c r="A11" s="19" t="inlineStr">
        <is>
          <t>Shareholding pattern, &gt;5% holders, promoter pledge, FII/DII/Public split (Sheet 5)</t>
        </is>
      </c>
      <c r="B11" s="19" t="inlineStr">
        <is>
          <t>FY25-26 Annual Reports (all 3)</t>
        </is>
      </c>
      <c r="C11" s="19"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9" t="inlineStr">
        <is>
          <t>VERIFIED primary — all rows, incl. FII/DII/Public splits</t>
        </is>
      </c>
    </row>
    <row r="12" ht="68" customHeight="1">
      <c r="A12" s="19" t="inlineStr">
        <is>
          <t>Year-end (31-Mar) share price, FY22-FY25 (Sheet 2)</t>
        </is>
      </c>
      <c r="B12" s="19" t="inlineStr">
        <is>
          <t>Torrent: AR_20392 (FY22 AR)/AR_22356 (FY23 AR)/AR_24323 (FY24 AR). Tata: AR_20052 (FY22 AR)/AR_2022_2023 (FY23 AR)/AR_26536 (FY25 AR). Adani: ADANIPOWER-2025 (FY25 AR).</t>
        </is>
      </c>
      <c r="C12" s="19"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9" t="inlineStr">
        <is>
          <t>VERIFIED (Torrent FY22-24); DERIVED from primary data (Tata FY22/23/25, Adani FY25); NOT FOUND in repo sources (Adani FY22/23/24, Tata FY24) — see Sheet 2 cell comments for exact manual-lookup instructions</t>
        </is>
      </c>
    </row>
    <row r="13" ht="68" customHeight="1">
      <c r="A13" s="19" t="inlineStr">
        <is>
          <t>Subsidiaries, associates, JVs (Sheets 7-8)</t>
        </is>
      </c>
      <c r="B13" s="19" t="inlineStr">
        <is>
          <t>FY25-26 Annual Reports (all 3)</t>
        </is>
      </c>
      <c r="C13" s="19" t="inlineStr">
        <is>
          <t>Form AOC-1 annexure (statement of salient features of financial statements of subsidiaries/associates/JVs) — entity names, % holdings, turnover and PAT per entity</t>
        </is>
      </c>
      <c r="D13" s="19" t="inlineStr">
        <is>
          <t>VERIFIED primary</t>
        </is>
      </c>
    </row>
    <row r="14" ht="68" customHeight="1">
      <c r="A14" s="19" t="inlineStr">
        <is>
          <t>Investments other than subs/assoc/JVs (Sheet 9)</t>
        </is>
      </c>
      <c r="B14" s="19" t="inlineStr">
        <is>
          <t>FY22-23 Annual Reports (all 3)</t>
        </is>
      </c>
      <c r="C14" s="19" t="inlineStr">
        <is>
          <t>Notes to Consolidated Financial Statements — Non-current Investments and Current Investments notes (e.g. Torrent Notes 10 &amp; 16; Adani Notes 5 &amp; 9)</t>
        </is>
      </c>
      <c r="D14" s="19" t="inlineStr">
        <is>
          <t>VERIFIED primary</t>
        </is>
      </c>
    </row>
    <row r="15" ht="68" customHeight="1">
      <c r="A15" s="19" t="inlineStr">
        <is>
          <t>Acquisitions &amp; deal values (Sheet 4)</t>
        </is>
      </c>
      <c r="B15" s="19" t="inlineStr">
        <is>
          <t>Directors' Reports in the Annual Report PDFs (deal completion/status) + financial press</t>
        </is>
      </c>
      <c r="C15" s="19" t="inlineStr">
        <is>
          <t>Directors' Report M&amp;A discussion; deal values from Business Standard, BusinessToday, Mercom India, PIB releases, NCLT/CCI filings as reported; each row states its basis</t>
        </is>
      </c>
      <c r="D15" s="19" t="inlineStr">
        <is>
          <t>Primary + named secondary</t>
        </is>
      </c>
    </row>
    <row r="16" ht="68" customHeight="1">
      <c r="A16" s="19" t="inlineStr">
        <is>
          <t>Financing changes, credit ratings (Sheet 10)</t>
        </is>
      </c>
      <c r="B16" s="19" t="inlineStr">
        <is>
          <t>CRISIL / ICRA / India Ratings rating rationales; company press releases; exchange filings via financial press</t>
        </is>
      </c>
      <c r="C16" s="19" t="inlineStr">
        <is>
          <t>crisil.com rating rationale pages (Adani Power Feb-2025 upgrade, Tata Power Apr-2024 upgrade, Torrent reaffirmations); QIP/NCD details from Business Standard/exchange-filing coverage</t>
        </is>
      </c>
      <c r="D16" s="19" t="inlineStr">
        <is>
          <t>Named secondary (recognized rating agencies/press)</t>
        </is>
      </c>
    </row>
    <row r="17" ht="68" customHeight="1">
      <c r="A17" s="19" t="inlineStr">
        <is>
          <t>Weekly share prices, returns, volatility, beta (Sheets 11, Weekly_Price_Data)</t>
        </is>
      </c>
      <c r="B17" s="19" t="inlineStr">
        <is>
          <t>Yahoo Finance Historical Data pages saved in this repo: ADANIPOWER_weekly.htm, TATAPOWER_weekly.htm, TORRENTPOWER_weekly.htm, NIFTYENERGY_weekly.htm, NIFTY50_weeklyreal.htm</t>
        </is>
      </c>
      <c r="C17" s="19" t="inlineStr">
        <is>
          <t>Weekly adjusted-close tables, 14-Jul-2025 to 15-Jul-2026, split-adjusted; 53 dates common to all 5 series; all stats are live Excel formulas (STDEV/SLOPE) over these prices</t>
        </is>
      </c>
      <c r="D17" s="19" t="inlineStr">
        <is>
          <t>Primary data files in repo; computations auditable in-cell</t>
        </is>
      </c>
    </row>
    <row r="18" ht="68" customHeight="1">
      <c r="A18" s="19" t="inlineStr">
        <is>
          <t>Major announcements &amp; price reaction (Sheet 12)</t>
        </is>
      </c>
      <c r="B18" s="19" t="inlineStr">
        <is>
          <t>Company press releases / exchange announcements as covered by Business Standard, BusinessToday, PSU Connect + the weekly price series above</t>
        </is>
      </c>
      <c r="C18" s="19" t="inlineStr">
        <is>
          <t>Each announcement row lists the event; price overlay from Weekly_Price_Data; exact filing dates should be cross-checked on BSE corporate announcements page before an event-study</t>
        </is>
      </c>
      <c r="D18" s="19" t="inlineStr">
        <is>
          <t>Named secondary + repo price data</t>
        </is>
      </c>
    </row>
    <row r="19" ht="68" customHeight="1">
      <c r="A19" s="19" t="inlineStr">
        <is>
          <t>Course requirements (structure of this file)</t>
        </is>
      </c>
      <c r="B19" s="19" t="inlineStr">
        <is>
          <t>FADM_(1).pdf (course plan, in this repo)</t>
        </is>
      </c>
      <c r="C19" s="19" t="inlineStr">
        <is>
          <t>Project Schedule table — Session-6 'Part-1' deliverable list; 'file must contain the financial statements... trails to the FSs' requirement</t>
        </is>
      </c>
      <c r="D19" s="19" t="inlineStr">
        <is>
          <t>Primary</t>
        </is>
      </c>
    </row>
    <row r="21">
      <c r="A21" s="16"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48"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49" t="inlineStr">
        <is>
          <t>Particulars (₹ crore)</t>
        </is>
      </c>
      <c r="B4" s="50" t="inlineStr">
        <is>
          <t>Mar-2026</t>
        </is>
      </c>
      <c r="C4" s="50" t="inlineStr">
        <is>
          <t>Mar-2025</t>
        </is>
      </c>
      <c r="D4" s="50" t="inlineStr">
        <is>
          <t>Mar-2024</t>
        </is>
      </c>
      <c r="E4" s="50" t="inlineStr">
        <is>
          <t>Mar-2023</t>
        </is>
      </c>
      <c r="F4" s="50" t="inlineStr">
        <is>
          <t>Mar-2022</t>
        </is>
      </c>
    </row>
    <row r="5">
      <c r="A5" s="51" t="inlineStr">
        <is>
          <t>ASSETS</t>
        </is>
      </c>
      <c r="B5" s="38" t="n"/>
      <c r="C5" s="38" t="n"/>
      <c r="D5" s="38" t="n"/>
      <c r="E5" s="38" t="n"/>
      <c r="F5" s="38" t="n"/>
    </row>
    <row r="6">
      <c r="A6" s="51" t="inlineStr">
        <is>
          <t>Non-current Assets</t>
        </is>
      </c>
      <c r="B6" s="38" t="n"/>
      <c r="C6" s="38" t="n"/>
      <c r="D6" s="38" t="n"/>
      <c r="E6" s="38" t="n"/>
      <c r="F6" s="38" t="n"/>
    </row>
    <row r="7">
      <c r="A7" s="52" t="inlineStr">
        <is>
          <t>Property, Plant and Equipment</t>
        </is>
      </c>
      <c r="B7" s="38" t="n">
        <v>66814.60000000001</v>
      </c>
      <c r="C7" s="38" t="n">
        <v>66707.23</v>
      </c>
      <c r="D7" s="38" t="n">
        <v>62812.71</v>
      </c>
      <c r="E7" s="38" t="n">
        <v>50543.8</v>
      </c>
      <c r="F7" s="38" t="n">
        <v>53071.62</v>
      </c>
    </row>
    <row r="8">
      <c r="A8" s="52" t="inlineStr">
        <is>
          <t>Right-of-use Assets</t>
        </is>
      </c>
      <c r="B8" s="38" t="n">
        <v>2261.28</v>
      </c>
      <c r="C8" s="38" t="n">
        <v>2319.82</v>
      </c>
      <c r="D8" s="38" t="n"/>
      <c r="E8" s="38" t="n"/>
      <c r="F8" s="38" t="n"/>
    </row>
    <row r="9">
      <c r="A9" s="52" t="inlineStr">
        <is>
          <t>Capital Work-in-Progress</t>
        </is>
      </c>
      <c r="B9" s="38" t="n">
        <v>35053.46</v>
      </c>
      <c r="C9" s="38" t="n">
        <v>12104.42</v>
      </c>
      <c r="D9" s="38" t="n">
        <v>925.12</v>
      </c>
      <c r="E9" s="38" t="n">
        <v>12879.54</v>
      </c>
      <c r="F9" s="38" t="n">
        <v>10269.74</v>
      </c>
    </row>
    <row r="10">
      <c r="A10" s="52" t="inlineStr">
        <is>
          <t>Investment Property</t>
        </is>
      </c>
      <c r="B10" s="38" t="n">
        <v>92.25</v>
      </c>
      <c r="C10" s="38" t="n">
        <v>48.69</v>
      </c>
      <c r="D10" s="38" t="n">
        <v>0</v>
      </c>
      <c r="E10" s="38" t="n">
        <v>704.9400000000001</v>
      </c>
      <c r="F10" s="38" t="n">
        <v>0</v>
      </c>
    </row>
    <row r="11">
      <c r="A11" s="52" t="inlineStr">
        <is>
          <t>Goodwill</t>
        </is>
      </c>
      <c r="B11" s="38" t="n">
        <v>204.52</v>
      </c>
      <c r="C11" s="38" t="n">
        <v>204.52</v>
      </c>
      <c r="D11" s="38" t="n">
        <v>190.61</v>
      </c>
      <c r="E11" s="38" t="n">
        <v>190.61</v>
      </c>
      <c r="F11" s="38" t="n">
        <v>190.61</v>
      </c>
    </row>
    <row r="12">
      <c r="A12" s="52" t="inlineStr">
        <is>
          <t>Other Intangible Assets</t>
        </is>
      </c>
      <c r="B12" s="38" t="n">
        <v>28.81</v>
      </c>
      <c r="C12" s="38" t="n">
        <v>17.19</v>
      </c>
      <c r="D12" s="38" t="n">
        <v>12.53</v>
      </c>
      <c r="E12" s="38" t="n">
        <v>12.03</v>
      </c>
      <c r="F12" s="38" t="n">
        <v>11.98</v>
      </c>
    </row>
    <row r="13">
      <c r="A13" s="52" t="inlineStr">
        <is>
          <t>Investments (Non-current)</t>
        </is>
      </c>
      <c r="B13" s="38" t="n">
        <v>24.64</v>
      </c>
      <c r="C13" s="38" t="n">
        <v>59.51</v>
      </c>
      <c r="D13" s="38" t="n">
        <v>0.01</v>
      </c>
      <c r="E13" s="38" t="n">
        <v>42.51</v>
      </c>
      <c r="F13" s="38" t="n">
        <v>0.01</v>
      </c>
    </row>
    <row r="14">
      <c r="A14" s="52" t="inlineStr">
        <is>
          <t>Loans (Non-current)</t>
        </is>
      </c>
      <c r="B14" s="38" t="n">
        <v>7.5</v>
      </c>
      <c r="C14" s="38" t="n"/>
      <c r="D14" s="38" t="n"/>
      <c r="E14" s="38" t="n"/>
      <c r="F14" s="38" t="n"/>
    </row>
    <row r="15">
      <c r="A15" s="52" t="inlineStr">
        <is>
          <t>Other Financial Assets (Non-current)</t>
        </is>
      </c>
      <c r="B15" s="38" t="n">
        <v>690.36</v>
      </c>
      <c r="C15" s="38" t="n">
        <v>691.41</v>
      </c>
      <c r="D15" s="38" t="n">
        <v>636.2</v>
      </c>
      <c r="E15" s="38" t="n">
        <v>779.71</v>
      </c>
      <c r="F15" s="38" t="n">
        <v>856.04</v>
      </c>
    </row>
    <row r="16">
      <c r="A16" s="52" t="inlineStr">
        <is>
          <t>Non-current Tax Assets (Net)</t>
        </is>
      </c>
      <c r="B16" s="38" t="n">
        <v>192.06</v>
      </c>
      <c r="C16" s="38" t="n">
        <v>216.55</v>
      </c>
      <c r="D16" s="38" t="n">
        <v>365.72</v>
      </c>
      <c r="E16" s="38" t="n"/>
      <c r="F16" s="38" t="n"/>
    </row>
    <row r="17">
      <c r="A17" s="52" t="inlineStr">
        <is>
          <t>Deferred Tax Assets (Net)</t>
        </is>
      </c>
      <c r="B17" s="38" t="n">
        <v>811.39</v>
      </c>
      <c r="C17" s="38" t="n">
        <v>0</v>
      </c>
      <c r="D17" s="38" t="n">
        <v>376.34</v>
      </c>
      <c r="E17" s="38" t="n">
        <v>0</v>
      </c>
      <c r="F17" s="38" t="n"/>
    </row>
    <row r="18">
      <c r="A18" s="52" t="inlineStr">
        <is>
          <t>Other Non-current Assets</t>
        </is>
      </c>
      <c r="B18" s="38" t="n">
        <v>7410.97</v>
      </c>
      <c r="C18" s="38" t="n">
        <v>4219</v>
      </c>
      <c r="D18" s="38" t="n">
        <v>1418.95</v>
      </c>
      <c r="E18" s="38" t="n">
        <v>1115.13</v>
      </c>
      <c r="F18" s="38" t="n">
        <v>1352.95</v>
      </c>
    </row>
    <row r="19">
      <c r="A19" s="18" t="inlineStr">
        <is>
          <t>Total Non-current Assets</t>
        </is>
      </c>
      <c r="B19" s="53">
        <f>B7+B8+B9+B10+B11+B12+B13+B14+B15+B16+B17+B18</f>
        <v/>
      </c>
      <c r="C19" s="53">
        <f>C7+C8+C9+C10+C11+C12+C13+C14+C15+C16+C17+C18</f>
        <v/>
      </c>
      <c r="D19" s="53">
        <f>D7+D8+D9+D10+D11+D12+D13+D14+D15+D16+D17+D18</f>
        <v/>
      </c>
      <c r="E19" s="53">
        <f>E7+E8+E9+E10+E11+E12+E13+E14+E15+E16+E17+E18</f>
        <v/>
      </c>
      <c r="F19" s="53">
        <f>F7+F8+F9+F10+F11+F12+F13+F14+F15+F16+F17+F18</f>
        <v/>
      </c>
    </row>
    <row r="20">
      <c r="A20" s="51" t="inlineStr">
        <is>
          <t>Current Assets</t>
        </is>
      </c>
      <c r="B20" s="38" t="n"/>
      <c r="C20" s="38" t="n"/>
      <c r="D20" s="38" t="n"/>
      <c r="E20" s="38" t="n"/>
      <c r="F20" s="38" t="n"/>
    </row>
    <row r="21">
      <c r="A21" s="52" t="inlineStr">
        <is>
          <t>Inventories</t>
        </is>
      </c>
      <c r="B21" s="38" t="n">
        <v>3623.48</v>
      </c>
      <c r="C21" s="38" t="n">
        <v>3317.28</v>
      </c>
      <c r="D21" s="38" t="n">
        <v>4142.1</v>
      </c>
      <c r="E21" s="38" t="n">
        <v>3075.2</v>
      </c>
      <c r="F21" s="38" t="n">
        <v>2258.27</v>
      </c>
    </row>
    <row r="22">
      <c r="A22" s="52" t="inlineStr">
        <is>
          <t>Investments (Current)</t>
        </is>
      </c>
      <c r="B22" s="38" t="n">
        <v>1491.35</v>
      </c>
      <c r="C22" s="38" t="n">
        <v>1037.7</v>
      </c>
      <c r="D22" s="38" t="n">
        <v>373.5</v>
      </c>
      <c r="E22" s="38" t="n">
        <v>611.54</v>
      </c>
      <c r="F22" s="38" t="n">
        <v>183.24</v>
      </c>
    </row>
    <row r="23">
      <c r="A23" s="52" t="inlineStr">
        <is>
          <t>Trade Receivables</t>
        </is>
      </c>
      <c r="B23" s="38" t="n">
        <v>11791.37</v>
      </c>
      <c r="C23" s="38" t="n">
        <v>13022.07</v>
      </c>
      <c r="D23" s="38" t="n">
        <v>11677.48</v>
      </c>
      <c r="E23" s="38" t="n">
        <v>11529.36</v>
      </c>
      <c r="F23" s="38" t="n">
        <v>9560.92</v>
      </c>
    </row>
    <row r="24">
      <c r="A24" s="52" t="inlineStr">
        <is>
          <t>Cash and Cash Equivalents</t>
        </is>
      </c>
      <c r="B24" s="38" t="n">
        <v>927.88</v>
      </c>
      <c r="C24" s="38" t="n">
        <v>319.86</v>
      </c>
      <c r="D24" s="38" t="n">
        <v>1136.25</v>
      </c>
      <c r="E24" s="38" t="n">
        <v>349.23</v>
      </c>
      <c r="F24" s="38" t="n">
        <v>782.37</v>
      </c>
    </row>
    <row r="25">
      <c r="A25" s="52" t="inlineStr">
        <is>
          <t>Bank Balances other than above</t>
        </is>
      </c>
      <c r="B25" s="38" t="n">
        <v>5998.44</v>
      </c>
      <c r="C25" s="38" t="n">
        <v>5800.02</v>
      </c>
      <c r="D25" s="38" t="n">
        <v>6075.51</v>
      </c>
      <c r="E25" s="38" t="n">
        <v>1524.42</v>
      </c>
      <c r="F25" s="38" t="n">
        <v>1582.31</v>
      </c>
    </row>
    <row r="26">
      <c r="A26" s="52" t="inlineStr">
        <is>
          <t>Loans (Current)</t>
        </is>
      </c>
      <c r="B26" s="38" t="n">
        <v>10.99</v>
      </c>
      <c r="C26" s="38" t="n">
        <v>6.82</v>
      </c>
      <c r="D26" s="38" t="n">
        <v>3.49</v>
      </c>
      <c r="E26" s="38" t="n">
        <v>3.19</v>
      </c>
      <c r="F26" s="38" t="n">
        <v>7.62</v>
      </c>
    </row>
    <row r="27">
      <c r="A27" s="52" t="inlineStr">
        <is>
          <t>Other Financial Assets (Current)</t>
        </is>
      </c>
      <c r="B27" s="38" t="n">
        <v>2161.97</v>
      </c>
      <c r="C27" s="38" t="n">
        <v>887.51</v>
      </c>
      <c r="D27" s="38" t="n">
        <v>435.82</v>
      </c>
      <c r="E27" s="38" t="n">
        <v>557.5</v>
      </c>
      <c r="F27" s="38" t="n">
        <v>308.28</v>
      </c>
    </row>
    <row r="28">
      <c r="A28" s="52" t="inlineStr">
        <is>
          <t>Current Tax Assets (Net)</t>
        </is>
      </c>
      <c r="B28" s="38" t="n">
        <v>0</v>
      </c>
      <c r="C28" s="38" t="n">
        <v>196.41</v>
      </c>
      <c r="D28" s="38" t="n">
        <v>0</v>
      </c>
      <c r="E28" s="38" t="n"/>
      <c r="F28" s="38" t="n"/>
    </row>
    <row r="29">
      <c r="A29" s="52" t="inlineStr">
        <is>
          <t>Other Current Assets</t>
        </is>
      </c>
      <c r="B29" s="38" t="n">
        <v>2682.6</v>
      </c>
      <c r="C29" s="38" t="n">
        <v>1725.78</v>
      </c>
      <c r="D29" s="38" t="n">
        <v>1742.43</v>
      </c>
      <c r="E29" s="38" t="n">
        <v>1902.56</v>
      </c>
      <c r="F29" s="38" t="n">
        <v>1545.06</v>
      </c>
    </row>
    <row r="30">
      <c r="A30" s="18" t="inlineStr">
        <is>
          <t>Total Current Assets</t>
        </is>
      </c>
      <c r="B30" s="53">
        <f>B21+B22+B23+B24+B25+B26+B27+B28+B29</f>
        <v/>
      </c>
      <c r="C30" s="53">
        <f>C21+C22+C23+C24+C25+C26+C27+C28+C29</f>
        <v/>
      </c>
      <c r="D30" s="53">
        <f>D21+D22+D23+D24+D25+D26+D27+D28+D29</f>
        <v/>
      </c>
      <c r="E30" s="53">
        <f>E21+E22+E23+E24+E25+E26+E27+E28+E29</f>
        <v/>
      </c>
      <c r="F30" s="53">
        <f>F21+F22+F23+F24+F25+F26+F27+F28+F29</f>
        <v/>
      </c>
    </row>
    <row r="31">
      <c r="A31" s="52" t="inlineStr">
        <is>
          <t>Assets Classified as Held for Sale</t>
        </is>
      </c>
      <c r="B31" s="38" t="n">
        <v>0</v>
      </c>
      <c r="C31" s="38" t="n">
        <v>15.78</v>
      </c>
      <c r="D31" s="38" t="n">
        <v>0</v>
      </c>
      <c r="E31" s="38" t="n"/>
      <c r="F31" s="38" t="n"/>
    </row>
    <row r="32">
      <c r="A32" s="18" t="inlineStr">
        <is>
          <t>TOTAL ASSETS</t>
        </is>
      </c>
      <c r="B32" s="53">
        <f>B19+B30+B31</f>
        <v/>
      </c>
      <c r="C32" s="53">
        <f>C19+C30+C31</f>
        <v/>
      </c>
      <c r="D32" s="53">
        <f>D19+D30+D31</f>
        <v/>
      </c>
      <c r="E32" s="53">
        <f>E19+E30+E31</f>
        <v/>
      </c>
      <c r="F32" s="53">
        <f>F19+F30+F31</f>
        <v/>
      </c>
    </row>
    <row r="33">
      <c r="A33" s="51" t="inlineStr">
        <is>
          <t>EQUITY AND LIABILITIES</t>
        </is>
      </c>
      <c r="B33" s="38" t="n"/>
      <c r="C33" s="38" t="n"/>
      <c r="D33" s="38" t="n"/>
      <c r="E33" s="38" t="n"/>
      <c r="F33" s="38" t="n"/>
    </row>
    <row r="34">
      <c r="A34" s="52" t="inlineStr">
        <is>
          <t>Equity Share Capital</t>
        </is>
      </c>
      <c r="B34" s="38" t="n">
        <v>3856.94</v>
      </c>
      <c r="C34" s="38" t="n">
        <v>3856.94</v>
      </c>
      <c r="D34" s="38" t="n">
        <v>3856.94</v>
      </c>
      <c r="E34" s="38" t="n">
        <v>3856.94</v>
      </c>
      <c r="F34" s="38" t="n">
        <v>3856.94</v>
      </c>
    </row>
    <row r="35">
      <c r="A35" s="52" t="inlineStr">
        <is>
          <t>Instrument entirely Equity in nature / Unsecured Perpetual Securities</t>
        </is>
      </c>
      <c r="B35" s="38" t="n">
        <v>0</v>
      </c>
      <c r="C35" s="38" t="n">
        <v>3056.92</v>
      </c>
      <c r="D35" s="38" t="n">
        <v>7315</v>
      </c>
      <c r="E35" s="38" t="n">
        <v>13215</v>
      </c>
      <c r="F35" s="38" t="n">
        <v>13215</v>
      </c>
    </row>
    <row r="36">
      <c r="A36" s="52" t="inlineStr">
        <is>
          <t>Other Equity</t>
        </is>
      </c>
      <c r="B36" s="38" t="n">
        <v>61079.94</v>
      </c>
      <c r="C36" s="38" t="n">
        <v>49433.23</v>
      </c>
      <c r="D36" s="38" t="n">
        <v>31973.09</v>
      </c>
      <c r="E36" s="38" t="n">
        <v>12803.72</v>
      </c>
      <c r="F36" s="38" t="n">
        <v>1631.5</v>
      </c>
    </row>
    <row r="37">
      <c r="A37" s="18" t="inlineStr">
        <is>
          <t>Equity attributable to equity holders of the parent</t>
        </is>
      </c>
      <c r="B37" s="53">
        <f>B34+B35+B36</f>
        <v/>
      </c>
      <c r="C37" s="53">
        <f>C34+C35+C36</f>
        <v/>
      </c>
      <c r="D37" s="53">
        <f>D34+D35+D36</f>
        <v/>
      </c>
      <c r="E37" s="53">
        <f>E34+E35+E36</f>
        <v/>
      </c>
      <c r="F37" s="53">
        <f>F34+F35+F36</f>
        <v/>
      </c>
    </row>
    <row r="38">
      <c r="A38" s="52" t="inlineStr">
        <is>
          <t>Non-Controlling Interests</t>
        </is>
      </c>
      <c r="B38" s="38" t="n">
        <v>1465.04</v>
      </c>
      <c r="C38" s="38" t="n">
        <v>1326.47</v>
      </c>
      <c r="D38" s="38" t="n">
        <v>0</v>
      </c>
      <c r="E38" s="38" t="n">
        <v>0</v>
      </c>
      <c r="F38" s="38" t="n">
        <v>0</v>
      </c>
    </row>
    <row r="39">
      <c r="A39" s="18" t="inlineStr">
        <is>
          <t>Total Equity</t>
        </is>
      </c>
      <c r="B39" s="53">
        <f>B37+B38</f>
        <v/>
      </c>
      <c r="C39" s="53">
        <f>C37+C38</f>
        <v/>
      </c>
      <c r="D39" s="53">
        <f>D37+D38</f>
        <v/>
      </c>
      <c r="E39" s="53">
        <f>E37+E38</f>
        <v/>
      </c>
      <c r="F39" s="53">
        <f>F37+F38</f>
        <v/>
      </c>
    </row>
    <row r="40">
      <c r="A40" s="51" t="inlineStr">
        <is>
          <t>Non-current Liabilities</t>
        </is>
      </c>
      <c r="B40" s="38" t="n"/>
      <c r="C40" s="38" t="n"/>
      <c r="D40" s="38" t="n"/>
      <c r="E40" s="38" t="n"/>
      <c r="F40" s="38" t="n"/>
    </row>
    <row r="41">
      <c r="A41" s="52" t="inlineStr">
        <is>
          <t>Borrowings (Non-current)</t>
        </is>
      </c>
      <c r="B41" s="38" t="n">
        <v>42829.6</v>
      </c>
      <c r="C41" s="38" t="n">
        <v>27646.96</v>
      </c>
      <c r="D41" s="38" t="n">
        <v>26595.01</v>
      </c>
      <c r="E41" s="38" t="n">
        <v>33702.6</v>
      </c>
      <c r="F41" s="38" t="n">
        <v>37871.32</v>
      </c>
    </row>
    <row r="42">
      <c r="A42" s="52" t="inlineStr">
        <is>
          <t>Lease Liabilities (Non-current)</t>
        </is>
      </c>
      <c r="B42" s="38" t="n">
        <v>1049.27</v>
      </c>
      <c r="C42" s="38" t="n">
        <v>1094.04</v>
      </c>
      <c r="D42" s="38" t="n">
        <v>143.11</v>
      </c>
      <c r="E42" s="38" t="n">
        <v>88.31999999999999</v>
      </c>
      <c r="F42" s="38" t="n">
        <v>94.36</v>
      </c>
    </row>
    <row r="43">
      <c r="A43" s="52" t="inlineStr">
        <is>
          <t>Other Financial Liabilities (Non-current)</t>
        </is>
      </c>
      <c r="B43" s="38" t="n">
        <v>185.69</v>
      </c>
      <c r="C43" s="38" t="n">
        <v>1.17</v>
      </c>
      <c r="D43" s="38" t="n">
        <v>1.07</v>
      </c>
      <c r="E43" s="38" t="n">
        <v>0</v>
      </c>
      <c r="F43" s="38" t="n">
        <v>960.37</v>
      </c>
    </row>
    <row r="44">
      <c r="A44" s="52" t="inlineStr">
        <is>
          <t>Provisions (Non-current)</t>
        </is>
      </c>
      <c r="B44" s="38" t="n">
        <v>359.9</v>
      </c>
      <c r="C44" s="38" t="n">
        <v>339.64</v>
      </c>
      <c r="D44" s="38" t="n">
        <v>237.45</v>
      </c>
      <c r="E44" s="38" t="n">
        <v>226.95</v>
      </c>
      <c r="F44" s="38" t="n">
        <v>220.87</v>
      </c>
    </row>
    <row r="45">
      <c r="A45" s="52" t="inlineStr">
        <is>
          <t>Deferred Tax Liabilities (Net)</t>
        </is>
      </c>
      <c r="B45" s="38" t="n">
        <v>5827.15</v>
      </c>
      <c r="C45" s="38" t="n">
        <v>4022.73</v>
      </c>
      <c r="D45" s="38" t="n">
        <v>315.8</v>
      </c>
      <c r="E45" s="38" t="n">
        <v>0</v>
      </c>
      <c r="F45" s="38" t="n">
        <v>2499.78</v>
      </c>
    </row>
    <row r="46">
      <c r="A46" s="52" t="inlineStr">
        <is>
          <t>Other Non-current Liabilities</t>
        </is>
      </c>
      <c r="B46" s="38" t="n">
        <v>5298.18</v>
      </c>
      <c r="C46" s="38" t="n">
        <v>5698.48</v>
      </c>
      <c r="D46" s="38" t="n">
        <v>6098.63</v>
      </c>
      <c r="E46" s="38" t="n">
        <v>4183.15</v>
      </c>
      <c r="F46" s="38" t="n">
        <v>4487.21</v>
      </c>
    </row>
    <row r="47">
      <c r="A47" s="18" t="inlineStr">
        <is>
          <t>Total Non-current Liabilities</t>
        </is>
      </c>
      <c r="B47" s="53">
        <f>B41+B42+B43+B44+B45+B46</f>
        <v/>
      </c>
      <c r="C47" s="53">
        <f>C41+C42+C43+C44+C45+C46</f>
        <v/>
      </c>
      <c r="D47" s="53">
        <f>D41+D42+D43+D44+D45+D46</f>
        <v/>
      </c>
      <c r="E47" s="53">
        <f>E41+E42+E43+E44+E45+E46</f>
        <v/>
      </c>
      <c r="F47" s="53">
        <f>F41+F42+F43+F44+F45+F46</f>
        <v/>
      </c>
    </row>
    <row r="48">
      <c r="A48" s="51" t="inlineStr">
        <is>
          <t>Current Liabilities</t>
        </is>
      </c>
      <c r="B48" s="38" t="n"/>
      <c r="C48" s="38" t="n"/>
      <c r="D48" s="38" t="n"/>
      <c r="E48" s="38" t="n"/>
      <c r="F48" s="38" t="n"/>
    </row>
    <row r="49">
      <c r="A49" s="52" t="inlineStr">
        <is>
          <t>Borrowings (Current)</t>
        </is>
      </c>
      <c r="B49" s="38" t="n">
        <v>10725.94</v>
      </c>
      <c r="C49" s="38" t="n">
        <v>10687.92</v>
      </c>
      <c r="D49" s="38" t="n">
        <v>7861.85</v>
      </c>
      <c r="E49" s="38" t="n">
        <v>8549.450000000001</v>
      </c>
      <c r="F49" s="38" t="n">
        <v>10924.36</v>
      </c>
    </row>
    <row r="50">
      <c r="A50" s="52" t="inlineStr">
        <is>
          <t>Lease Liabilities (Current)</t>
        </is>
      </c>
      <c r="B50" s="38" t="n">
        <v>65.48</v>
      </c>
      <c r="C50" s="38" t="n">
        <v>65.95</v>
      </c>
      <c r="D50" s="38" t="n">
        <v>15.59</v>
      </c>
      <c r="E50" s="38" t="n">
        <v>9.16</v>
      </c>
      <c r="F50" s="38" t="n">
        <v>8.390000000000001</v>
      </c>
    </row>
    <row r="51">
      <c r="A51" s="52" t="inlineStr">
        <is>
          <t>Trade Payables — micro/small enterprises</t>
        </is>
      </c>
      <c r="B51" s="38" t="n">
        <v>183.98</v>
      </c>
      <c r="C51" s="38" t="n">
        <v>215.73</v>
      </c>
      <c r="D51" s="38" t="n">
        <v>141.93</v>
      </c>
      <c r="E51" s="38" t="n">
        <v>95.76000000000001</v>
      </c>
      <c r="F51" s="38" t="n">
        <v>57.59</v>
      </c>
    </row>
    <row r="52">
      <c r="A52" s="52" t="inlineStr">
        <is>
          <t>Trade Payables — other creditors</t>
        </is>
      </c>
      <c r="B52" s="38" t="n">
        <v>2656.55</v>
      </c>
      <c r="C52" s="38" t="n">
        <v>2761.93</v>
      </c>
      <c r="D52" s="38" t="n">
        <v>3494.37</v>
      </c>
      <c r="E52" s="38" t="n">
        <v>2983.69</v>
      </c>
      <c r="F52" s="38" t="n">
        <v>3450.62</v>
      </c>
    </row>
    <row r="53">
      <c r="A53" s="52" t="inlineStr">
        <is>
          <t>Other Financial Liabilities (Current)</t>
        </is>
      </c>
      <c r="B53" s="38" t="n">
        <v>4049.65</v>
      </c>
      <c r="C53" s="38" t="n">
        <v>1230.62</v>
      </c>
      <c r="D53" s="38" t="n">
        <v>2089.8</v>
      </c>
      <c r="E53" s="38" t="n">
        <v>2461.58</v>
      </c>
      <c r="F53" s="38" t="n">
        <v>1167.32</v>
      </c>
    </row>
    <row r="54">
      <c r="A54" s="52" t="inlineStr">
        <is>
          <t>Other Current Liabilities</t>
        </is>
      </c>
      <c r="B54" s="38" t="n">
        <v>994.38</v>
      </c>
      <c r="C54" s="38" t="n">
        <v>1348.74</v>
      </c>
      <c r="D54" s="38" t="n">
        <v>2159.44</v>
      </c>
      <c r="E54" s="38" t="n">
        <v>3622.82</v>
      </c>
      <c r="F54" s="38" t="n">
        <v>861.36</v>
      </c>
    </row>
    <row r="55">
      <c r="A55" s="52" t="inlineStr">
        <is>
          <t>Provisions (Current)</t>
        </is>
      </c>
      <c r="B55" s="38" t="n">
        <v>96.95999999999999</v>
      </c>
      <c r="C55" s="38" t="n">
        <v>70.23999999999999</v>
      </c>
      <c r="D55" s="38" t="n">
        <v>25.69</v>
      </c>
      <c r="E55" s="38" t="n">
        <v>21.64</v>
      </c>
      <c r="F55" s="38" t="n">
        <v>28.71</v>
      </c>
    </row>
    <row r="56">
      <c r="A56" s="52" t="inlineStr">
        <is>
          <t>Current Tax Liabilities (Net)</t>
        </is>
      </c>
      <c r="B56" s="38" t="n">
        <v>1555.27</v>
      </c>
      <c r="C56" s="38" t="n">
        <v>59.86</v>
      </c>
      <c r="D56" s="38" t="n">
        <v>0</v>
      </c>
      <c r="E56" s="38" t="n">
        <v>0.49</v>
      </c>
      <c r="F56" s="38" t="n">
        <v>645.3200000000001</v>
      </c>
    </row>
    <row r="57">
      <c r="A57" s="18" t="inlineStr">
        <is>
          <t>Total Current Liabilities</t>
        </is>
      </c>
      <c r="B57" s="53">
        <f>B49+B50+B51+B52+B53+B54+B55+B56</f>
        <v/>
      </c>
      <c r="C57" s="53">
        <f>C49+C50+C51+C52+C53+C54+C55+C56</f>
        <v/>
      </c>
      <c r="D57" s="53">
        <f>D49+D50+D51+D52+D53+D54+D55+D56</f>
        <v/>
      </c>
      <c r="E57" s="53">
        <f>E49+E50+E51+E52+E53+E54+E55+E56</f>
        <v/>
      </c>
      <c r="F57" s="53">
        <f>F49+F50+F51+F52+F53+F54+F55+F56</f>
        <v/>
      </c>
    </row>
    <row r="58">
      <c r="A58" s="18" t="inlineStr">
        <is>
          <t>Total Liabilities</t>
        </is>
      </c>
      <c r="B58" s="53">
        <f>B47+B57</f>
        <v/>
      </c>
      <c r="C58" s="53">
        <f>C47+C57</f>
        <v/>
      </c>
      <c r="D58" s="53">
        <f>D47+D57</f>
        <v/>
      </c>
      <c r="E58" s="53">
        <f>E47+E57</f>
        <v/>
      </c>
      <c r="F58" s="53">
        <f>F47+F57</f>
        <v/>
      </c>
    </row>
    <row r="59">
      <c r="A59" s="18" t="inlineStr">
        <is>
          <t>TOTAL EQUITY AND LIABILITIES</t>
        </is>
      </c>
      <c r="B59" s="53">
        <f>B39+B58</f>
        <v/>
      </c>
      <c r="C59" s="53">
        <f>C39+C58</f>
        <v/>
      </c>
      <c r="D59" s="53">
        <f>D39+D58</f>
        <v/>
      </c>
      <c r="E59" s="53">
        <f>E39+E58</f>
        <v/>
      </c>
      <c r="F59" s="53">
        <f>F39+F58</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48" t="inlineStr">
        <is>
          <t>Sources: Adani Power Ltd Integrated Annual Reports FY22-23, FY23-24, FY24-25 and FY25-26 — 'Consolidated Statement of Profit and Loss' for each year ended. GREEN 'Total'/'Profit' cells are LIVE FORMULAS.</t>
        </is>
      </c>
    </row>
    <row r="4">
      <c r="A4" s="49" t="inlineStr">
        <is>
          <t>Particulars (₹ crore)</t>
        </is>
      </c>
      <c r="B4" s="50" t="inlineStr">
        <is>
          <t>FY 2025-26</t>
        </is>
      </c>
      <c r="C4" s="50" t="inlineStr">
        <is>
          <t>FY 2024-25</t>
        </is>
      </c>
      <c r="D4" s="50" t="inlineStr">
        <is>
          <t>FY 2023-24</t>
        </is>
      </c>
      <c r="E4" s="50" t="inlineStr">
        <is>
          <t>FY 2022-23</t>
        </is>
      </c>
      <c r="F4" s="50" t="inlineStr">
        <is>
          <t>FY 2021-22</t>
        </is>
      </c>
    </row>
    <row r="5">
      <c r="A5" s="51" t="inlineStr">
        <is>
          <t>Income</t>
        </is>
      </c>
      <c r="B5" s="38" t="n"/>
      <c r="C5" s="38" t="n"/>
      <c r="D5" s="38" t="n"/>
      <c r="E5" s="38" t="n"/>
      <c r="F5" s="38" t="n"/>
    </row>
    <row r="6">
      <c r="A6" s="52" t="inlineStr">
        <is>
          <t>Revenue from Operations</t>
        </is>
      </c>
      <c r="B6" s="38" t="n">
        <v>54240.52</v>
      </c>
      <c r="C6" s="38" t="n">
        <v>56203.09</v>
      </c>
      <c r="D6" s="38" t="n">
        <v>50351.25</v>
      </c>
      <c r="E6" s="38" t="n">
        <v>38773.3</v>
      </c>
      <c r="F6" s="38" t="n">
        <v>27711.18</v>
      </c>
    </row>
    <row r="7">
      <c r="A7" s="52" t="inlineStr">
        <is>
          <t>Other Income</t>
        </is>
      </c>
      <c r="B7" s="38" t="n">
        <v>3624.76</v>
      </c>
      <c r="C7" s="38" t="n">
        <v>2702.74</v>
      </c>
      <c r="D7" s="38" t="n">
        <v>9930.23</v>
      </c>
      <c r="E7" s="38" t="n">
        <v>4267.22</v>
      </c>
      <c r="F7" s="38" t="n">
        <v>3975.29</v>
      </c>
    </row>
    <row r="8">
      <c r="A8" s="18" t="inlineStr">
        <is>
          <t>Total Income</t>
        </is>
      </c>
      <c r="B8" s="53">
        <f>B6+B7</f>
        <v/>
      </c>
      <c r="C8" s="53">
        <f>C6+C7</f>
        <v/>
      </c>
      <c r="D8" s="53">
        <f>D6+D7</f>
        <v/>
      </c>
      <c r="E8" s="53">
        <f>E6+E7</f>
        <v/>
      </c>
      <c r="F8" s="53">
        <f>F6+F7</f>
        <v/>
      </c>
    </row>
    <row r="9">
      <c r="A9" s="51" t="inlineStr">
        <is>
          <t>Expenses</t>
        </is>
      </c>
      <c r="B9" s="38" t="n"/>
      <c r="C9" s="38" t="n"/>
      <c r="D9" s="38" t="n"/>
      <c r="E9" s="38" t="n"/>
      <c r="F9" s="38" t="n"/>
    </row>
    <row r="10">
      <c r="A10" s="52" t="inlineStr">
        <is>
          <t>Fuel Cost</t>
        </is>
      </c>
      <c r="B10" s="38" t="n">
        <v>29168.02</v>
      </c>
      <c r="C10" s="38" t="n">
        <v>30273.25</v>
      </c>
      <c r="D10" s="38" t="n">
        <v>28452.64</v>
      </c>
      <c r="E10" s="38" t="n">
        <v>25480.85</v>
      </c>
      <c r="F10" s="38" t="n">
        <v>14762.21</v>
      </c>
    </row>
    <row r="11">
      <c r="A11" s="52" t="inlineStr">
        <is>
          <t>Purchase of Stock-in-trade / Power for resale</t>
        </is>
      </c>
      <c r="B11" s="38" t="n">
        <v>209.66</v>
      </c>
      <c r="C11" s="38" t="n">
        <v>356.99</v>
      </c>
      <c r="D11" s="38" t="n">
        <v>222.26</v>
      </c>
      <c r="E11" s="38" t="n">
        <v>214.14</v>
      </c>
      <c r="F11" s="38" t="n">
        <v>545.5599999999999</v>
      </c>
    </row>
    <row r="12">
      <c r="A12" s="52" t="inlineStr">
        <is>
          <t>Transmission Charges</t>
        </is>
      </c>
      <c r="B12" s="38" t="n">
        <v>557.42</v>
      </c>
      <c r="C12" s="38" t="n">
        <v>459.09</v>
      </c>
      <c r="D12" s="38" t="n">
        <v>503.99</v>
      </c>
      <c r="E12" s="38" t="n">
        <v>519.61</v>
      </c>
      <c r="F12" s="38" t="n">
        <v>642.77</v>
      </c>
    </row>
    <row r="13">
      <c r="A13" s="52" t="inlineStr">
        <is>
          <t>Employee Benefits Expense</t>
        </is>
      </c>
      <c r="B13" s="38" t="n">
        <v>855.1799999999999</v>
      </c>
      <c r="C13" s="38" t="n">
        <v>784.4</v>
      </c>
      <c r="D13" s="38" t="n">
        <v>643.7</v>
      </c>
      <c r="E13" s="38" t="n">
        <v>569.99</v>
      </c>
      <c r="F13" s="38" t="n">
        <v>470.31</v>
      </c>
    </row>
    <row r="14">
      <c r="A14" s="52" t="inlineStr">
        <is>
          <t>Finance Costs (net)</t>
        </is>
      </c>
      <c r="B14" s="38" t="n">
        <v>3366.83</v>
      </c>
      <c r="C14" s="38" t="n">
        <v>3339.79</v>
      </c>
      <c r="D14" s="38" t="n">
        <v>3388.09</v>
      </c>
      <c r="E14" s="38" t="n">
        <v>3333.5</v>
      </c>
      <c r="F14" s="38" t="n">
        <v>4094.78</v>
      </c>
    </row>
    <row r="15">
      <c r="A15" s="52" t="inlineStr">
        <is>
          <t>Depreciation and Amortisation Expense</t>
        </is>
      </c>
      <c r="B15" s="38" t="n">
        <v>4564.53</v>
      </c>
      <c r="C15" s="38" t="n">
        <v>4308.88</v>
      </c>
      <c r="D15" s="38" t="n">
        <v>3931.33</v>
      </c>
      <c r="E15" s="38" t="n">
        <v>3303.68</v>
      </c>
      <c r="F15" s="38" t="n">
        <v>3117.54</v>
      </c>
    </row>
    <row r="16">
      <c r="A16" s="52" t="inlineStr">
        <is>
          <t>Other Expenses</t>
        </is>
      </c>
      <c r="B16" s="38" t="n">
        <v>3644.13</v>
      </c>
      <c r="C16" s="38" t="n">
        <v>3023.92</v>
      </c>
      <c r="D16" s="38" t="n">
        <v>2347.96</v>
      </c>
      <c r="E16" s="38" t="n">
        <v>1944.05</v>
      </c>
      <c r="F16" s="38" t="n">
        <v>1476.17</v>
      </c>
    </row>
    <row r="17">
      <c r="A17" s="18" t="inlineStr">
        <is>
          <t>Total Expenses</t>
        </is>
      </c>
      <c r="B17" s="53">
        <f>B10+B11+B12+B13+B14+B15+B16</f>
        <v/>
      </c>
      <c r="C17" s="53">
        <f>C10+C11+C12+C13+C14+C15+C16</f>
        <v/>
      </c>
      <c r="D17" s="53">
        <f>D10+D11+D12+D13+D14+D15+D16</f>
        <v/>
      </c>
      <c r="E17" s="53">
        <f>E10+E11+E12+E13+E14+E15+E16</f>
        <v/>
      </c>
      <c r="F17" s="53">
        <f>F10+F11+F12+F13+F14+F15+F16</f>
        <v/>
      </c>
    </row>
    <row r="18">
      <c r="A18" s="18" t="inlineStr">
        <is>
          <t>Profit before share of JV profit and tax</t>
        </is>
      </c>
      <c r="B18" s="53">
        <f>B8-B17</f>
        <v/>
      </c>
      <c r="C18" s="53">
        <f>C8-C17</f>
        <v/>
      </c>
      <c r="D18" s="53">
        <f>D8-D17</f>
        <v/>
      </c>
      <c r="E18" s="53">
        <f>E8-E17</f>
        <v/>
      </c>
      <c r="F18" s="53">
        <f>F8-F17</f>
        <v/>
      </c>
    </row>
    <row r="19">
      <c r="A19" s="52" t="inlineStr">
        <is>
          <t>Total Tax Expense/(Credit)</t>
        </is>
      </c>
      <c r="B19" s="38" t="n">
        <v>2528.43</v>
      </c>
      <c r="C19" s="38" t="n">
        <v>3609.9</v>
      </c>
      <c r="D19" s="38" t="n">
        <v>-37.28</v>
      </c>
      <c r="E19" s="38" t="n">
        <v>-3267.37</v>
      </c>
      <c r="F19" s="38" t="n">
        <v>1744.8</v>
      </c>
    </row>
    <row r="20">
      <c r="A20" s="52" t="inlineStr">
        <is>
          <t>Add: Deferred tax (adj.)/recoverable from future tariff (net of tax)</t>
        </is>
      </c>
      <c r="B20" s="38" t="n"/>
      <c r="C20" s="38" t="n"/>
      <c r="D20" s="38" t="n">
        <v>0</v>
      </c>
      <c r="E20" s="38" t="n">
        <v>-215.43</v>
      </c>
      <c r="F20" s="38" t="n">
        <v>79.25</v>
      </c>
    </row>
    <row r="21">
      <c r="A21" s="18" t="inlineStr">
        <is>
          <t>Profit for the Year (PAT, consolidated)</t>
        </is>
      </c>
      <c r="B21" s="53">
        <f>B18-B19+B20</f>
        <v/>
      </c>
      <c r="C21" s="53">
        <f>C18-C19+C20</f>
        <v/>
      </c>
      <c r="D21" s="53">
        <f>D18-D19+D20</f>
        <v/>
      </c>
      <c r="E21" s="53">
        <f>E18-E19+E20</f>
        <v/>
      </c>
      <c r="F21" s="53">
        <f>F18-F19+F20</f>
        <v/>
      </c>
    </row>
    <row r="22">
      <c r="A22" s="52" t="inlineStr">
        <is>
          <t>Other Comprehensive Income, net of tax</t>
        </is>
      </c>
      <c r="B22" s="38" t="n">
        <v>19.67</v>
      </c>
      <c r="C22" s="38" t="n">
        <v>-2.69</v>
      </c>
      <c r="D22" s="38" t="n">
        <v>-27.49</v>
      </c>
      <c r="E22" s="38" t="n">
        <v>33.74</v>
      </c>
      <c r="F22" s="38" t="n">
        <v>43.63</v>
      </c>
    </row>
    <row r="23">
      <c r="A23" s="18" t="inlineStr">
        <is>
          <t>Total Comprehensive Income for the Year</t>
        </is>
      </c>
      <c r="B23" s="53">
        <f>B21+B22</f>
        <v/>
      </c>
      <c r="C23" s="53">
        <f>C21+C22</f>
        <v/>
      </c>
      <c r="D23" s="53">
        <f>D21+D22</f>
        <v/>
      </c>
      <c r="E23" s="53">
        <f>E21+E22</f>
        <v/>
      </c>
      <c r="F23" s="53">
        <f>F21+F22</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48" t="inlineStr">
        <is>
          <t>Sources: Tata Power Integrated Annual Reports FY21-22 (AR_20052), FY23-24 (AR_24164) and FY25-26 (AR_29380) — 'Consolidated Balance Sheet' as at each year-end. GREEN 'Total' cells are LIVE FORMULAS summing the line items above them.</t>
        </is>
      </c>
    </row>
    <row r="4">
      <c r="A4" s="49" t="inlineStr">
        <is>
          <t>Particulars (₹ crore)</t>
        </is>
      </c>
      <c r="B4" s="50" t="inlineStr">
        <is>
          <t>Mar-2026</t>
        </is>
      </c>
      <c r="C4" s="50" t="inlineStr">
        <is>
          <t>Mar-2025</t>
        </is>
      </c>
      <c r="D4" s="50" t="inlineStr">
        <is>
          <t>Mar-2024</t>
        </is>
      </c>
      <c r="E4" s="50" t="inlineStr">
        <is>
          <t>Mar-2023</t>
        </is>
      </c>
      <c r="F4" s="50" t="inlineStr">
        <is>
          <t>Mar-2022</t>
        </is>
      </c>
    </row>
    <row r="5">
      <c r="A5" s="51" t="inlineStr">
        <is>
          <t>ASSETS</t>
        </is>
      </c>
      <c r="B5" s="38" t="n"/>
      <c r="C5" s="38" t="n"/>
      <c r="D5" s="38" t="n"/>
      <c r="E5" s="38" t="n"/>
      <c r="F5" s="38" t="n"/>
    </row>
    <row r="6">
      <c r="A6" s="51" t="inlineStr">
        <is>
          <t>Non-current Assets</t>
        </is>
      </c>
      <c r="B6" s="38" t="n"/>
      <c r="C6" s="38" t="n"/>
      <c r="D6" s="38" t="n"/>
      <c r="E6" s="38" t="n"/>
      <c r="F6" s="38" t="n"/>
    </row>
    <row r="7">
      <c r="A7" s="52" t="inlineStr">
        <is>
          <t>Property, Plant and Equipment</t>
        </is>
      </c>
      <c r="B7" s="38" t="n">
        <v>78870.53999999999</v>
      </c>
      <c r="C7" s="38" t="n">
        <v>70261.38</v>
      </c>
      <c r="D7" s="38" t="n">
        <v>59624.06</v>
      </c>
      <c r="E7" s="38" t="n">
        <v>54524.96</v>
      </c>
      <c r="F7" s="38" t="n">
        <v>50502.96</v>
      </c>
    </row>
    <row r="8">
      <c r="A8" s="52" t="inlineStr">
        <is>
          <t>Right of Use Assets</t>
        </is>
      </c>
      <c r="B8" s="38" t="n">
        <v>5525.44</v>
      </c>
      <c r="C8" s="38" t="n">
        <v>5089.89</v>
      </c>
      <c r="D8" s="38" t="n">
        <v>4368.75</v>
      </c>
      <c r="E8" s="38" t="n">
        <v>3982.05</v>
      </c>
      <c r="F8" s="38" t="n">
        <v>3661.99</v>
      </c>
    </row>
    <row r="9">
      <c r="A9" s="52" t="inlineStr">
        <is>
          <t>Capital Work-in-Progress</t>
        </is>
      </c>
      <c r="B9" s="38" t="n">
        <v>14595.13</v>
      </c>
      <c r="C9" s="38" t="n">
        <v>12678.87</v>
      </c>
      <c r="D9" s="38" t="n">
        <v>11561.31</v>
      </c>
      <c r="E9" s="38" t="n">
        <v>5376.36</v>
      </c>
      <c r="F9" s="38" t="n">
        <v>4635.1</v>
      </c>
    </row>
    <row r="10">
      <c r="A10" s="52" t="inlineStr">
        <is>
          <t>Goodwill</t>
        </is>
      </c>
      <c r="B10" s="38" t="n">
        <v>1651.46</v>
      </c>
      <c r="C10" s="38" t="n">
        <v>1651.46</v>
      </c>
      <c r="D10" s="38" t="n">
        <v>1757.46</v>
      </c>
      <c r="E10" s="38" t="n">
        <v>1858.31</v>
      </c>
      <c r="F10" s="38" t="n">
        <v>1858.31</v>
      </c>
    </row>
    <row r="11">
      <c r="A11" s="52" t="inlineStr">
        <is>
          <t>Other Intangible Assets</t>
        </is>
      </c>
      <c r="B11" s="38" t="n">
        <v>1245.25</v>
      </c>
      <c r="C11" s="38" t="n">
        <v>1371.7</v>
      </c>
      <c r="D11" s="38" t="n">
        <v>1459.29</v>
      </c>
      <c r="E11" s="38" t="n">
        <v>1381.34</v>
      </c>
      <c r="F11" s="38" t="n">
        <v>1366.18</v>
      </c>
    </row>
    <row r="12">
      <c r="A12" s="52" t="inlineStr">
        <is>
          <t>Investments accounted for using Equity Method</t>
        </is>
      </c>
      <c r="B12" s="38" t="n">
        <v>13549.05</v>
      </c>
      <c r="C12" s="38" t="n">
        <v>12894.22</v>
      </c>
      <c r="D12" s="38" t="n">
        <v>12983.51</v>
      </c>
      <c r="E12" s="38" t="n">
        <v>14218.88</v>
      </c>
      <c r="F12" s="38" t="n">
        <v>12580</v>
      </c>
    </row>
    <row r="13">
      <c r="A13" s="52" t="inlineStr">
        <is>
          <t>Other Investments (Non-current)</t>
        </is>
      </c>
      <c r="B13" s="38" t="n">
        <v>1669.37</v>
      </c>
      <c r="C13" s="38" t="n">
        <v>2119.75</v>
      </c>
      <c r="D13" s="38" t="n">
        <v>1854.59</v>
      </c>
      <c r="E13" s="38" t="n">
        <v>1301.21</v>
      </c>
      <c r="F13" s="38" t="n">
        <v>1169.81</v>
      </c>
    </row>
    <row r="14">
      <c r="A14" s="52" t="inlineStr">
        <is>
          <t>Trade Receivables (Non-current)</t>
        </is>
      </c>
      <c r="B14" s="38" t="n">
        <v>1599.35</v>
      </c>
      <c r="C14" s="38" t="n">
        <v>1223.02</v>
      </c>
      <c r="D14" s="38" t="n">
        <v>273.29</v>
      </c>
      <c r="E14" s="38" t="n">
        <v>359.63</v>
      </c>
      <c r="F14" s="38" t="n">
        <v>685.78</v>
      </c>
    </row>
    <row r="15">
      <c r="A15" s="52" t="inlineStr">
        <is>
          <t>Loans (Non-current)</t>
        </is>
      </c>
      <c r="B15" s="38" t="n">
        <v>37.14</v>
      </c>
      <c r="C15" s="38" t="n">
        <v>2</v>
      </c>
      <c r="D15" s="38" t="n">
        <v>2.48</v>
      </c>
      <c r="E15" s="38" t="n">
        <v>2.99</v>
      </c>
      <c r="F15" s="38" t="n">
        <v>3.45</v>
      </c>
    </row>
    <row r="16">
      <c r="A16" s="52" t="inlineStr">
        <is>
          <t>Finance Lease Receivables (Non-current)</t>
        </is>
      </c>
      <c r="B16" s="38" t="n">
        <v>837.84</v>
      </c>
      <c r="C16" s="38" t="n">
        <v>526.98</v>
      </c>
      <c r="D16" s="38" t="n">
        <v>561.66</v>
      </c>
      <c r="E16" s="38" t="n">
        <v>567.22</v>
      </c>
      <c r="F16" s="38" t="n">
        <v>588.6900000000001</v>
      </c>
    </row>
    <row r="17">
      <c r="A17" s="52" t="inlineStr">
        <is>
          <t>Other Financial Assets (Non-current)</t>
        </is>
      </c>
      <c r="B17" s="38" t="n">
        <v>3522.62</v>
      </c>
      <c r="C17" s="38" t="n">
        <v>2168.98</v>
      </c>
      <c r="D17" s="38" t="n">
        <v>2084.5</v>
      </c>
      <c r="E17" s="38" t="n">
        <v>1726.66</v>
      </c>
      <c r="F17" s="38" t="n">
        <v>1684.53</v>
      </c>
    </row>
    <row r="18">
      <c r="A18" s="52" t="inlineStr">
        <is>
          <t>Non-current Tax Assets (Net)</t>
        </is>
      </c>
      <c r="B18" s="38" t="n">
        <v>960.96</v>
      </c>
      <c r="C18" s="38" t="n">
        <v>745.78</v>
      </c>
      <c r="D18" s="38" t="n">
        <v>585.89</v>
      </c>
      <c r="E18" s="38" t="n">
        <v>739.0700000000001</v>
      </c>
      <c r="F18" s="38" t="n">
        <v>520.54</v>
      </c>
    </row>
    <row r="19">
      <c r="A19" s="52" t="inlineStr">
        <is>
          <t>Deferred Tax Assets (Net)</t>
        </is>
      </c>
      <c r="B19" s="38" t="n">
        <v>607.54</v>
      </c>
      <c r="C19" s="38" t="n">
        <v>517.99</v>
      </c>
      <c r="D19" s="38" t="n">
        <v>499.09</v>
      </c>
      <c r="E19" s="38" t="n">
        <v>252.9</v>
      </c>
      <c r="F19" s="38" t="n">
        <v>334.6</v>
      </c>
    </row>
    <row r="20">
      <c r="A20" s="52" t="inlineStr">
        <is>
          <t>Other Non-current Assets</t>
        </is>
      </c>
      <c r="B20" s="38" t="n">
        <v>10635.84</v>
      </c>
      <c r="C20" s="38" t="n">
        <v>8393.799999999999</v>
      </c>
      <c r="D20" s="38" t="n">
        <v>5173.57</v>
      </c>
      <c r="E20" s="38" t="n">
        <v>2532.46</v>
      </c>
      <c r="F20" s="38" t="n">
        <v>1849.82</v>
      </c>
    </row>
    <row r="21">
      <c r="A21" s="18" t="inlineStr">
        <is>
          <t>Total Non-current Assets</t>
        </is>
      </c>
      <c r="B21" s="53">
        <f>B7+B8+B9+B10+B11+B12+B13+B14+B15+B16+B17+B18+B19+B20</f>
        <v/>
      </c>
      <c r="C21" s="53">
        <f>C7+C8+C9+C10+C11+C12+C13+C14+C15+C16+C17+C18+C19+C20</f>
        <v/>
      </c>
      <c r="D21" s="53">
        <f>D7+D8+D9+D10+D11+D12+D13+D14+D15+D16+D17+D18+D19+D20</f>
        <v/>
      </c>
      <c r="E21" s="53">
        <f>E7+E8+E9+E10+E11+E12+E13+E14+E15+E16+E17+E18+E19+E20</f>
        <v/>
      </c>
      <c r="F21" s="53">
        <f>F7+F8+F9+F10+F11+F12+F13+F14+F15+F16+F17+F18+F19+F20</f>
        <v/>
      </c>
    </row>
    <row r="22">
      <c r="A22" s="51" t="inlineStr">
        <is>
          <t>Current Assets</t>
        </is>
      </c>
      <c r="B22" s="38" t="n"/>
      <c r="C22" s="38" t="n"/>
      <c r="D22" s="38" t="n"/>
      <c r="E22" s="38" t="n"/>
      <c r="F22" s="38" t="n"/>
    </row>
    <row r="23">
      <c r="A23" s="52" t="inlineStr">
        <is>
          <t>Inventories</t>
        </is>
      </c>
      <c r="B23" s="38" t="n">
        <v>5107.64</v>
      </c>
      <c r="C23" s="38" t="n">
        <v>4571.82</v>
      </c>
      <c r="D23" s="38" t="n">
        <v>4419.63</v>
      </c>
      <c r="E23" s="38" t="n">
        <v>3942.88</v>
      </c>
      <c r="F23" s="38" t="n">
        <v>4231.52</v>
      </c>
    </row>
    <row r="24">
      <c r="A24" s="52" t="inlineStr">
        <is>
          <t>Investments (Current)</t>
        </is>
      </c>
      <c r="B24" s="38" t="n">
        <v>1356.12</v>
      </c>
      <c r="C24" s="38" t="n">
        <v>1302.42</v>
      </c>
      <c r="D24" s="38" t="n">
        <v>1477.89</v>
      </c>
      <c r="E24" s="38" t="n">
        <v>1149.6</v>
      </c>
      <c r="F24" s="38" t="n">
        <v>410.52</v>
      </c>
    </row>
    <row r="25">
      <c r="A25" s="52" t="inlineStr">
        <is>
          <t>Trade Receivables (Current)</t>
        </is>
      </c>
      <c r="B25" s="38" t="n">
        <v>4423.96</v>
      </c>
      <c r="C25" s="38" t="n">
        <v>5709.78</v>
      </c>
      <c r="D25" s="38" t="n">
        <v>7401.69</v>
      </c>
      <c r="E25" s="38" t="n">
        <v>6952.15</v>
      </c>
      <c r="F25" s="38" t="n">
        <v>5979.74</v>
      </c>
    </row>
    <row r="26">
      <c r="A26" s="52" t="inlineStr">
        <is>
          <t>Unbilled Revenue</t>
        </is>
      </c>
      <c r="B26" s="38" t="n">
        <v>2842.63</v>
      </c>
      <c r="C26" s="38" t="n">
        <v>2737.06</v>
      </c>
      <c r="D26" s="38" t="n">
        <v>2552.23</v>
      </c>
      <c r="E26" s="38" t="n">
        <v>2456.71</v>
      </c>
      <c r="F26" s="38" t="n">
        <v>2285.57</v>
      </c>
    </row>
    <row r="27">
      <c r="A27" s="52" t="inlineStr">
        <is>
          <t>Cash and Cash Equivalents</t>
        </is>
      </c>
      <c r="B27" s="38" t="n">
        <v>4409.67</v>
      </c>
      <c r="C27" s="38" t="n">
        <v>4862.47</v>
      </c>
      <c r="D27" s="38" t="n">
        <v>3324.34</v>
      </c>
      <c r="E27" s="38" t="n">
        <v>4189.76</v>
      </c>
      <c r="F27" s="38" t="n">
        <v>3077.24</v>
      </c>
    </row>
    <row r="28">
      <c r="A28" s="52" t="inlineStr">
        <is>
          <t>Bank Balances other than above</t>
        </is>
      </c>
      <c r="B28" s="38" t="n">
        <v>9234.33</v>
      </c>
      <c r="C28" s="38" t="n">
        <v>6888.51</v>
      </c>
      <c r="D28" s="38" t="n">
        <v>5827.57</v>
      </c>
      <c r="E28" s="38" t="n">
        <v>7016.77</v>
      </c>
      <c r="F28" s="38" t="n">
        <v>3563.46</v>
      </c>
    </row>
    <row r="29">
      <c r="A29" s="52" t="inlineStr">
        <is>
          <t>Loans (Current)</t>
        </is>
      </c>
      <c r="B29" s="38" t="n">
        <v>19.8</v>
      </c>
      <c r="C29" s="38" t="n">
        <v>12.34</v>
      </c>
      <c r="D29" s="38" t="n">
        <v>11.14</v>
      </c>
      <c r="E29" s="38" t="n">
        <v>11.55</v>
      </c>
      <c r="F29" s="38" t="n">
        <v>9.34</v>
      </c>
    </row>
    <row r="30">
      <c r="A30" s="52" t="inlineStr">
        <is>
          <t>Finance Lease Receivables (Current)</t>
        </is>
      </c>
      <c r="B30" s="38" t="n">
        <v>86.65000000000001</v>
      </c>
      <c r="C30" s="38" t="n">
        <v>74.47</v>
      </c>
      <c r="D30" s="38" t="n">
        <v>65.92</v>
      </c>
      <c r="E30" s="38" t="n">
        <v>54.5</v>
      </c>
      <c r="F30" s="38" t="n">
        <v>46.91</v>
      </c>
    </row>
    <row r="31">
      <c r="A31" s="52" t="inlineStr">
        <is>
          <t>Other Financial Assets (Current)</t>
        </is>
      </c>
      <c r="B31" s="38" t="n">
        <v>1316.67</v>
      </c>
      <c r="C31" s="38" t="n">
        <v>656.48</v>
      </c>
      <c r="D31" s="38" t="n">
        <v>471.48</v>
      </c>
      <c r="E31" s="38" t="n">
        <v>688.3</v>
      </c>
      <c r="F31" s="38" t="n">
        <v>501.45</v>
      </c>
    </row>
    <row r="32">
      <c r="A32" s="52" t="inlineStr">
        <is>
          <t>Current Tax Assets (Net)</t>
        </is>
      </c>
      <c r="B32" s="38" t="n">
        <v>0</v>
      </c>
      <c r="C32" s="38" t="n">
        <v>0</v>
      </c>
      <c r="D32" s="38" t="n">
        <v>8.199999999999999</v>
      </c>
      <c r="E32" s="38" t="n">
        <v>0.6899999999999999</v>
      </c>
      <c r="F32" s="38" t="n">
        <v>0.01</v>
      </c>
    </row>
    <row r="33">
      <c r="A33" s="52" t="inlineStr">
        <is>
          <t>Other Current Assets</t>
        </is>
      </c>
      <c r="B33" s="38" t="n">
        <v>1773.58</v>
      </c>
      <c r="C33" s="38" t="n">
        <v>1941.3</v>
      </c>
      <c r="D33" s="38" t="n">
        <v>1704.3</v>
      </c>
      <c r="E33" s="38" t="n">
        <v>1328.72</v>
      </c>
      <c r="F33" s="38" t="n">
        <v>1479.67</v>
      </c>
    </row>
    <row r="34">
      <c r="A34" s="18" t="inlineStr">
        <is>
          <t>Total Current Assets</t>
        </is>
      </c>
      <c r="B34" s="53">
        <f>B23+B24+B25+B26+B27+B28+B29+B30+B31+B32+B33</f>
        <v/>
      </c>
      <c r="C34" s="53">
        <f>C23+C24+C25+C26+C27+C28+C29+C30+C31+C32+C33</f>
        <v/>
      </c>
      <c r="D34" s="53">
        <f>D23+D24+D25+D26+D27+D28+D29+D30+D31+D32+D33</f>
        <v/>
      </c>
      <c r="E34" s="53">
        <f>E23+E24+E25+E26+E27+E28+E29+E30+E31+E32+E33</f>
        <v/>
      </c>
      <c r="F34" s="53">
        <f>F23+F24+F25+F26+F27+F28+F29+F30+F31+F32+F33</f>
        <v/>
      </c>
    </row>
    <row r="35">
      <c r="A35" s="52" t="inlineStr">
        <is>
          <t>Assets Classified as Held For Sale</t>
        </is>
      </c>
      <c r="B35" s="38" t="n">
        <v>1153.75</v>
      </c>
      <c r="C35" s="38" t="n">
        <v>1145.21</v>
      </c>
      <c r="D35" s="38" t="n">
        <v>1200.99</v>
      </c>
      <c r="E35" s="38" t="n">
        <v>3299.94</v>
      </c>
      <c r="F35" s="38" t="n">
        <v>3046.83</v>
      </c>
    </row>
    <row r="36">
      <c r="A36" s="18" t="inlineStr">
        <is>
          <t>Total Assets before Regulatory Deferral Account</t>
        </is>
      </c>
      <c r="B36" s="53">
        <f>B21+B34+B35</f>
        <v/>
      </c>
      <c r="C36" s="53">
        <f>C21+C34+C35</f>
        <v/>
      </c>
      <c r="D36" s="53">
        <f>D21+D34+D35</f>
        <v/>
      </c>
      <c r="E36" s="53">
        <f>E21+E34+E35</f>
        <v/>
      </c>
      <c r="F36" s="53">
        <f>F21+F34+F35</f>
        <v/>
      </c>
    </row>
    <row r="37">
      <c r="A37" s="52" t="inlineStr">
        <is>
          <t>Regulatory Deferral Account — Assets</t>
        </is>
      </c>
      <c r="B37" s="38" t="n">
        <v>8139.45</v>
      </c>
      <c r="C37" s="38" t="n">
        <v>7163.61</v>
      </c>
      <c r="D37" s="38" t="n">
        <v>8298.66</v>
      </c>
      <c r="E37" s="38" t="n">
        <v>8433.43</v>
      </c>
      <c r="F37" s="38" t="n">
        <v>6810.57</v>
      </c>
    </row>
    <row r="38">
      <c r="A38" s="18" t="inlineStr">
        <is>
          <t>TOTAL ASSETS</t>
        </is>
      </c>
      <c r="B38" s="53">
        <f>B36+B37</f>
        <v/>
      </c>
      <c r="C38" s="53">
        <f>C36+C37</f>
        <v/>
      </c>
      <c r="D38" s="53">
        <f>D36+D37</f>
        <v/>
      </c>
      <c r="E38" s="53">
        <f>E36+E37</f>
        <v/>
      </c>
      <c r="F38" s="53">
        <f>F36+F37</f>
        <v/>
      </c>
    </row>
    <row r="39">
      <c r="A39" s="51" t="inlineStr">
        <is>
          <t>EQUITY AND LIABILITIES</t>
        </is>
      </c>
      <c r="B39" s="38" t="n"/>
      <c r="C39" s="38" t="n"/>
      <c r="D39" s="38" t="n"/>
      <c r="E39" s="38" t="n"/>
      <c r="F39" s="38" t="n"/>
    </row>
    <row r="40">
      <c r="A40" s="52" t="inlineStr">
        <is>
          <t>Equity Share Capital</t>
        </is>
      </c>
      <c r="B40" s="38" t="n">
        <v>319.56</v>
      </c>
      <c r="C40" s="38" t="n">
        <v>319.56</v>
      </c>
      <c r="D40" s="38" t="n">
        <v>319.56</v>
      </c>
      <c r="E40" s="38" t="n">
        <v>319.56</v>
      </c>
      <c r="F40" s="38" t="n">
        <v>319.56</v>
      </c>
    </row>
    <row r="41">
      <c r="A41" s="52" t="inlineStr">
        <is>
          <t>Other Equity</t>
        </is>
      </c>
      <c r="B41" s="38" t="n">
        <v>39147.65</v>
      </c>
      <c r="C41" s="38" t="n">
        <v>35521.11</v>
      </c>
      <c r="D41" s="38" t="n">
        <v>32035.73</v>
      </c>
      <c r="E41" s="38" t="n">
        <v>28467.87</v>
      </c>
      <c r="F41" s="38" t="n">
        <v>22122</v>
      </c>
    </row>
    <row r="42">
      <c r="A42" s="18" t="inlineStr">
        <is>
          <t>Equity attributable to Shareholders of Parent</t>
        </is>
      </c>
      <c r="B42" s="53">
        <f>B40+B41</f>
        <v/>
      </c>
      <c r="C42" s="53">
        <f>C40+C41</f>
        <v/>
      </c>
      <c r="D42" s="53">
        <f>D40+D41</f>
        <v/>
      </c>
      <c r="E42" s="53">
        <f>E40+E41</f>
        <v/>
      </c>
      <c r="F42" s="53">
        <f>F40+F41</f>
        <v/>
      </c>
    </row>
    <row r="43">
      <c r="A43" s="52" t="inlineStr">
        <is>
          <t>Non-controlling Interests</t>
        </is>
      </c>
      <c r="B43" s="38" t="n">
        <v>8070.86</v>
      </c>
      <c r="C43" s="38" t="n">
        <v>6765.37</v>
      </c>
      <c r="D43" s="38" t="n">
        <v>5977.48</v>
      </c>
      <c r="E43" s="38" t="n">
        <v>5416.69</v>
      </c>
      <c r="F43" s="38" t="n">
        <v>3586.9</v>
      </c>
    </row>
    <row r="44">
      <c r="A44" s="18" t="inlineStr">
        <is>
          <t>Total Equity</t>
        </is>
      </c>
      <c r="B44" s="53">
        <f>B42+B43</f>
        <v/>
      </c>
      <c r="C44" s="53">
        <f>C42+C43</f>
        <v/>
      </c>
      <c r="D44" s="53">
        <f>D42+D43</f>
        <v/>
      </c>
      <c r="E44" s="53">
        <f>E42+E43</f>
        <v/>
      </c>
      <c r="F44" s="53">
        <f>F42+F43</f>
        <v/>
      </c>
    </row>
    <row r="45">
      <c r="A45" s="51" t="inlineStr">
        <is>
          <t>Non-current Liabilities</t>
        </is>
      </c>
      <c r="B45" s="38" t="n"/>
      <c r="C45" s="38" t="n"/>
      <c r="D45" s="38" t="n"/>
      <c r="E45" s="38" t="n"/>
      <c r="F45" s="38" t="n"/>
    </row>
    <row r="46">
      <c r="A46" s="52" t="inlineStr">
        <is>
          <t>Borrowings (Non-current)</t>
        </is>
      </c>
      <c r="B46" s="38" t="n">
        <v>61608.57</v>
      </c>
      <c r="C46" s="38" t="n">
        <v>44129.72</v>
      </c>
      <c r="D46" s="38" t="n">
        <v>37392.25</v>
      </c>
      <c r="E46" s="38" t="n">
        <v>30708.49</v>
      </c>
      <c r="F46" s="38" t="n">
        <v>32729.7</v>
      </c>
    </row>
    <row r="47">
      <c r="A47" s="52" t="inlineStr">
        <is>
          <t>Lease Liabilities (Non-current)</t>
        </is>
      </c>
      <c r="B47" s="38" t="n">
        <v>4549.94</v>
      </c>
      <c r="C47" s="38" t="n">
        <v>4196.21</v>
      </c>
      <c r="D47" s="38" t="n">
        <v>3742.48</v>
      </c>
      <c r="E47" s="38" t="n">
        <v>3510.7</v>
      </c>
      <c r="F47" s="38" t="n">
        <v>3207.79</v>
      </c>
    </row>
    <row r="48">
      <c r="A48" s="52" t="inlineStr">
        <is>
          <t>Trade Payables (Non-current)</t>
        </is>
      </c>
      <c r="B48" s="38" t="n"/>
      <c r="C48" s="38" t="n"/>
      <c r="D48" s="38" t="n"/>
      <c r="E48" s="38" t="n"/>
      <c r="F48" s="38" t="n">
        <v>0</v>
      </c>
    </row>
    <row r="49">
      <c r="A49" s="52" t="inlineStr">
        <is>
          <t>Other Financial Liabilities (Non-current)</t>
        </is>
      </c>
      <c r="B49" s="38" t="n">
        <v>694.64</v>
      </c>
      <c r="C49" s="38" t="n">
        <v>674.12</v>
      </c>
      <c r="D49" s="38" t="n">
        <v>1507.55</v>
      </c>
      <c r="E49" s="38" t="n">
        <v>1410.4</v>
      </c>
      <c r="F49" s="38" t="n">
        <v>1156.56</v>
      </c>
    </row>
    <row r="50">
      <c r="A50" s="52" t="inlineStr">
        <is>
          <t>Non-current Tax Liabilities (Net)</t>
        </is>
      </c>
      <c r="B50" s="38" t="n"/>
      <c r="C50" s="38" t="n"/>
      <c r="D50" s="38" t="n"/>
      <c r="E50" s="38" t="n"/>
      <c r="F50" s="38" t="n">
        <v>3.03</v>
      </c>
    </row>
    <row r="51">
      <c r="A51" s="52" t="inlineStr">
        <is>
          <t>Provisions (Non-current)</t>
        </is>
      </c>
      <c r="B51" s="38" t="n">
        <v>3213.85</v>
      </c>
      <c r="C51" s="38" t="n">
        <v>2548.69</v>
      </c>
      <c r="D51" s="38" t="n">
        <v>1865.08</v>
      </c>
      <c r="E51" s="38" t="n">
        <v>1420.02</v>
      </c>
      <c r="F51" s="38" t="n">
        <v>1218.18</v>
      </c>
    </row>
    <row r="52">
      <c r="A52" s="52" t="inlineStr">
        <is>
          <t>Deferred Tax Liabilities (Net)</t>
        </is>
      </c>
      <c r="B52" s="38" t="n">
        <v>4807.88</v>
      </c>
      <c r="C52" s="38" t="n">
        <v>4104.12</v>
      </c>
      <c r="D52" s="38" t="n">
        <v>2772.33</v>
      </c>
      <c r="E52" s="38" t="n">
        <v>1919.37</v>
      </c>
      <c r="F52" s="38" t="n">
        <v>1033.3</v>
      </c>
    </row>
    <row r="53">
      <c r="A53" s="52" t="inlineStr">
        <is>
          <t>Other Non-current Liabilities</t>
        </is>
      </c>
      <c r="B53" s="38" t="n">
        <v>13411.97</v>
      </c>
      <c r="C53" s="38" t="n">
        <v>12930.57</v>
      </c>
      <c r="D53" s="38" t="n">
        <v>11973.08</v>
      </c>
      <c r="E53" s="38" t="n">
        <v>9847.82</v>
      </c>
      <c r="F53" s="38" t="n">
        <v>8139.29</v>
      </c>
    </row>
    <row r="54">
      <c r="A54" s="18" t="inlineStr">
        <is>
          <t>Total Non-current Liabilities</t>
        </is>
      </c>
      <c r="B54" s="53">
        <f>B46+B47+B48+B49+B50+B51+B52+B53</f>
        <v/>
      </c>
      <c r="C54" s="53">
        <f>C46+C47+C48+C49+C50+C51+C52+C53</f>
        <v/>
      </c>
      <c r="D54" s="53">
        <f>D46+D47+D48+D49+D50+D51+D52+D53</f>
        <v/>
      </c>
      <c r="E54" s="53">
        <f>E46+E47+E48+E49+E50+E51+E52+E53</f>
        <v/>
      </c>
      <c r="F54" s="53">
        <f>F46+F47+F48+F49+F50+F51+F52+F53</f>
        <v/>
      </c>
    </row>
    <row r="55">
      <c r="A55" s="51" t="inlineStr">
        <is>
          <t>Current Liabilities</t>
        </is>
      </c>
      <c r="B55" s="38" t="n"/>
      <c r="C55" s="38" t="n"/>
      <c r="D55" s="38" t="n"/>
      <c r="E55" s="38" t="n"/>
      <c r="F55" s="38" t="n"/>
    </row>
    <row r="56">
      <c r="A56" s="52" t="inlineStr">
        <is>
          <t>Borrowings (Current)</t>
        </is>
      </c>
      <c r="B56" s="38" t="n">
        <v>9513.82</v>
      </c>
      <c r="C56" s="38" t="n">
        <v>14015.84</v>
      </c>
      <c r="D56" s="38" t="n">
        <v>12087.56</v>
      </c>
      <c r="E56" s="38" t="n">
        <v>18265.94</v>
      </c>
      <c r="F56" s="38" t="n">
        <v>14860.3</v>
      </c>
    </row>
    <row r="57">
      <c r="A57" s="52" t="inlineStr">
        <is>
          <t>Lease Liabilities (Current)</t>
        </is>
      </c>
      <c r="B57" s="38" t="n">
        <v>468.94</v>
      </c>
      <c r="C57" s="38" t="n">
        <v>524.03</v>
      </c>
      <c r="D57" s="38" t="n">
        <v>467.16</v>
      </c>
      <c r="E57" s="38" t="n">
        <v>437.87</v>
      </c>
      <c r="F57" s="38" t="n">
        <v>397.33</v>
      </c>
    </row>
    <row r="58">
      <c r="A58" s="52" t="inlineStr">
        <is>
          <t>Acceptances (Current)</t>
        </is>
      </c>
      <c r="B58" s="38" t="n">
        <v>3647.97</v>
      </c>
      <c r="C58" s="38" t="n">
        <v>5129.93</v>
      </c>
      <c r="D58" s="38" t="n"/>
      <c r="E58" s="38" t="n"/>
      <c r="F58" s="38" t="n"/>
    </row>
    <row r="59">
      <c r="A59" s="52" t="inlineStr">
        <is>
          <t>Trade Payables — micro/small enterprises</t>
        </is>
      </c>
      <c r="B59" s="38" t="n">
        <v>809.84</v>
      </c>
      <c r="C59" s="38" t="n">
        <v>784.21</v>
      </c>
      <c r="D59" s="38" t="n">
        <v>870</v>
      </c>
      <c r="E59" s="38" t="n">
        <v>537.6</v>
      </c>
      <c r="F59" s="38" t="n"/>
    </row>
    <row r="60">
      <c r="A60" s="52" t="inlineStr">
        <is>
          <t>Trade Payables — other creditors / total</t>
        </is>
      </c>
      <c r="B60" s="38" t="n">
        <v>6328.39</v>
      </c>
      <c r="C60" s="38" t="n">
        <v>8070.34</v>
      </c>
      <c r="D60" s="38" t="n">
        <v>8451.370000000001</v>
      </c>
      <c r="E60" s="38" t="n">
        <v>6869.6</v>
      </c>
      <c r="F60" s="38" t="n">
        <v>10459.6</v>
      </c>
    </row>
    <row r="61">
      <c r="A61" s="52" t="inlineStr">
        <is>
          <t>Other Financial Liabilities (Current)</t>
        </is>
      </c>
      <c r="B61" s="38" t="n">
        <v>13897.6</v>
      </c>
      <c r="C61" s="38" t="n">
        <v>12427.03</v>
      </c>
      <c r="D61" s="38" t="n">
        <v>14796.16</v>
      </c>
      <c r="E61" s="38" t="n">
        <v>13150.77</v>
      </c>
      <c r="F61" s="38" t="n">
        <v>9631.959999999999</v>
      </c>
    </row>
    <row r="62">
      <c r="A62" s="52" t="inlineStr">
        <is>
          <t>Provisions (Current)</t>
        </is>
      </c>
      <c r="B62" s="38" t="n">
        <v>680.4400000000001</v>
      </c>
      <c r="C62" s="38" t="n">
        <v>437.56</v>
      </c>
      <c r="D62" s="38" t="n">
        <v>294.34</v>
      </c>
      <c r="E62" s="38" t="n">
        <v>311.07</v>
      </c>
      <c r="F62" s="38" t="n">
        <v>344.82</v>
      </c>
    </row>
    <row r="63">
      <c r="A63" s="52" t="inlineStr">
        <is>
          <t>Current Tax Liabilities (Net)</t>
        </is>
      </c>
      <c r="B63" s="38" t="n">
        <v>185.42</v>
      </c>
      <c r="C63" s="38" t="n">
        <v>208.2</v>
      </c>
      <c r="D63" s="38" t="n">
        <v>291.54</v>
      </c>
      <c r="E63" s="38" t="n">
        <v>217.96</v>
      </c>
      <c r="F63" s="38" t="n">
        <v>147</v>
      </c>
    </row>
    <row r="64">
      <c r="A64" s="52" t="inlineStr">
        <is>
          <t>Other Current Liabilities</t>
        </is>
      </c>
      <c r="B64" s="38" t="n">
        <v>3691.15</v>
      </c>
      <c r="C64" s="38" t="n">
        <v>3672.38</v>
      </c>
      <c r="D64" s="38" t="n">
        <v>3879.84</v>
      </c>
      <c r="E64" s="38" t="n">
        <v>4188.41</v>
      </c>
      <c r="F64" s="38" t="n">
        <v>2779.08</v>
      </c>
    </row>
    <row r="65">
      <c r="A65" s="18" t="inlineStr">
        <is>
          <t>Total Current Liabilities</t>
        </is>
      </c>
      <c r="B65" s="53">
        <f>B56+B57+B58+B59+B60+B61+B62+B63+B64</f>
        <v/>
      </c>
      <c r="C65" s="53">
        <f>C56+C57+C58+C59+C60+C61+C62+C63+C64</f>
        <v/>
      </c>
      <c r="D65" s="53">
        <f>D56+D57+D58+D59+D60+D61+D62+D63+D64</f>
        <v/>
      </c>
      <c r="E65" s="53">
        <f>E56+E57+E58+E59+E60+E61+E62+E63+E64</f>
        <v/>
      </c>
      <c r="F65" s="53">
        <f>F56+F57+F58+F59+F60+F61+F62+F63+F64</f>
        <v/>
      </c>
    </row>
    <row r="66">
      <c r="A66" s="52" t="inlineStr">
        <is>
          <t>Liabilities re: Assets Held For Sale</t>
        </is>
      </c>
      <c r="B66" s="38" t="n">
        <v>114.24</v>
      </c>
      <c r="C66" s="38" t="n">
        <v>113.56</v>
      </c>
      <c r="D66" s="38" t="n">
        <v>113.56</v>
      </c>
      <c r="E66" s="38" t="n">
        <v>113.56</v>
      </c>
      <c r="F66" s="38" t="n">
        <v>113.56</v>
      </c>
    </row>
    <row r="67">
      <c r="A67" s="52" t="inlineStr">
        <is>
          <t>Regulatory Deferral Account — Liability</t>
        </is>
      </c>
      <c r="B67" s="38" t="n">
        <v>9.050000000000001</v>
      </c>
      <c r="C67" s="38" t="n">
        <v>138.74</v>
      </c>
      <c r="D67" s="38" t="n">
        <v>716.42</v>
      </c>
      <c r="E67" s="38" t="n">
        <v>1235.34</v>
      </c>
      <c r="F67" s="38" t="n">
        <v>634.63</v>
      </c>
    </row>
    <row r="68">
      <c r="A68" s="18" t="inlineStr">
        <is>
          <t>TOTAL EQUITY AND LIABILITIES</t>
        </is>
      </c>
      <c r="B68" s="53">
        <f>B44+B54+B65+B66+B67</f>
        <v/>
      </c>
      <c r="C68" s="53">
        <f>C44+C54+C65+C66+C67</f>
        <v/>
      </c>
      <c r="D68" s="53">
        <f>D44+D54+D65+D66+D67</f>
        <v/>
      </c>
      <c r="E68" s="53">
        <f>E44+E54+E65+E66+E67</f>
        <v/>
      </c>
      <c r="F68" s="53">
        <f>F44+F54+F65+F66+F67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48" t="inlineStr">
        <is>
          <t>Sources: Tata Power Integrated Annual Reports FY21-22, FY23-24 and FY25-26 — 'Consolidated Statement of Profit and Loss' for each year ended. GREEN 'Total'/'Profit' cells are LIVE FORMULAS.</t>
        </is>
      </c>
    </row>
    <row r="4">
      <c r="A4" s="49" t="inlineStr">
        <is>
          <t>Particulars (₹ crore)</t>
        </is>
      </c>
      <c r="B4" s="50" t="inlineStr">
        <is>
          <t>FY 2025-26</t>
        </is>
      </c>
      <c r="C4" s="50" t="inlineStr">
        <is>
          <t>FY 2024-25</t>
        </is>
      </c>
      <c r="D4" s="50" t="inlineStr">
        <is>
          <t>FY 2023-24</t>
        </is>
      </c>
      <c r="E4" s="50" t="inlineStr">
        <is>
          <t>FY 2022-23</t>
        </is>
      </c>
      <c r="F4" s="50" t="inlineStr">
        <is>
          <t>FY 2021-22</t>
        </is>
      </c>
    </row>
    <row r="5">
      <c r="A5" s="52" t="inlineStr">
        <is>
          <t>Revenue from Operations</t>
        </is>
      </c>
      <c r="B5" s="38" t="n">
        <v>62428.59</v>
      </c>
      <c r="C5" s="38" t="n">
        <v>65478.24</v>
      </c>
      <c r="D5" s="38" t="n">
        <v>61448.9</v>
      </c>
      <c r="E5" s="38" t="n">
        <v>55109.08</v>
      </c>
      <c r="F5" s="38" t="n">
        <v>42815.67</v>
      </c>
    </row>
    <row r="6">
      <c r="A6" s="52" t="inlineStr">
        <is>
          <t>Other Income</t>
        </is>
      </c>
      <c r="B6" s="38" t="n">
        <v>1743.07</v>
      </c>
      <c r="C6" s="38" t="n">
        <v>1513.93</v>
      </c>
      <c r="D6" s="38" t="n">
        <v>1823.42</v>
      </c>
      <c r="E6" s="38" t="n">
        <v>1438.02</v>
      </c>
      <c r="F6" s="38" t="n">
        <v>919.96</v>
      </c>
    </row>
    <row r="7">
      <c r="A7" s="18" t="inlineStr">
        <is>
          <t>Total Income</t>
        </is>
      </c>
      <c r="B7" s="53">
        <f>B5+B6</f>
        <v/>
      </c>
      <c r="C7" s="53">
        <f>C5+C6</f>
        <v/>
      </c>
      <c r="D7" s="53">
        <f>D5+D6</f>
        <v/>
      </c>
      <c r="E7" s="53">
        <f>E5+E6</f>
        <v/>
      </c>
      <c r="F7" s="53">
        <f>F5+F6</f>
        <v/>
      </c>
    </row>
    <row r="8">
      <c r="A8" s="51" t="inlineStr">
        <is>
          <t>Expenses</t>
        </is>
      </c>
      <c r="B8" s="38" t="n"/>
      <c r="C8" s="38" t="n"/>
      <c r="D8" s="38" t="n"/>
      <c r="E8" s="38" t="n"/>
      <c r="F8" s="38" t="n"/>
    </row>
    <row r="9">
      <c r="A9" s="52" t="inlineStr">
        <is>
          <t>Cost of Power Purchased</t>
        </is>
      </c>
      <c r="B9" s="38" t="n">
        <v>19647.25</v>
      </c>
      <c r="C9" s="38" t="n">
        <v>20523.61</v>
      </c>
      <c r="D9" s="38" t="n">
        <v>20014.46</v>
      </c>
      <c r="E9" s="38" t="n">
        <v>19062.67</v>
      </c>
      <c r="F9" s="38" t="n">
        <v>14640.62</v>
      </c>
    </row>
    <row r="10">
      <c r="A10" s="52" t="inlineStr">
        <is>
          <t>Cost of Fuel</t>
        </is>
      </c>
      <c r="B10" s="38" t="n">
        <v>7498.39</v>
      </c>
      <c r="C10" s="38" t="n">
        <v>13918.47</v>
      </c>
      <c r="D10" s="38" t="n">
        <v>14130.47</v>
      </c>
      <c r="E10" s="38" t="n">
        <v>13763.59</v>
      </c>
      <c r="F10" s="38" t="n">
        <v>8290.92</v>
      </c>
    </row>
    <row r="11">
      <c r="A11" s="52" t="inlineStr">
        <is>
          <t>Transmission Charges</t>
        </is>
      </c>
      <c r="B11" s="38" t="n">
        <v>1467.98</v>
      </c>
      <c r="C11" s="38" t="n">
        <v>1277.81</v>
      </c>
      <c r="D11" s="38" t="n">
        <v>1168.69</v>
      </c>
      <c r="E11" s="38" t="n">
        <v>1194.95</v>
      </c>
      <c r="F11" s="38" t="n">
        <v>1018.19</v>
      </c>
    </row>
    <row r="12">
      <c r="A12" s="52" t="inlineStr">
        <is>
          <t>Raw Material Consumed / Construction Cost</t>
        </is>
      </c>
      <c r="B12" s="38" t="n">
        <v>8618.4</v>
      </c>
      <c r="C12" s="38" t="n">
        <v>4921.46</v>
      </c>
      <c r="D12" s="38" t="n">
        <v>5439.86</v>
      </c>
      <c r="E12" s="38" t="n">
        <v>3882.3</v>
      </c>
      <c r="F12" s="38" t="n">
        <v>3832.83</v>
      </c>
    </row>
    <row r="13">
      <c r="A13" s="52" t="inlineStr">
        <is>
          <t>Purchase of Finished Goods and Spares</t>
        </is>
      </c>
      <c r="B13" s="38" t="n">
        <v>42.35</v>
      </c>
      <c r="C13" s="38" t="n">
        <v>31.84</v>
      </c>
      <c r="D13" s="38" t="n">
        <v>39.89</v>
      </c>
      <c r="E13" s="38" t="n">
        <v>56.15</v>
      </c>
      <c r="F13" s="38" t="n">
        <v>49.11</v>
      </c>
    </row>
    <row r="14">
      <c r="A14" s="52" t="inlineStr">
        <is>
          <t>(Increase)/Decrease in Stock-in-Trade &amp; WIP</t>
        </is>
      </c>
      <c r="B14" s="38" t="n">
        <v>-84.11</v>
      </c>
      <c r="C14" s="38" t="n">
        <v>-440.76</v>
      </c>
      <c r="D14" s="38" t="n">
        <v>-51.78</v>
      </c>
      <c r="E14" s="38" t="n">
        <v>43.53</v>
      </c>
      <c r="F14" s="38" t="n">
        <v>-199.22</v>
      </c>
    </row>
    <row r="15">
      <c r="A15" s="52" t="inlineStr">
        <is>
          <t>Employee Benefits Expense</t>
        </is>
      </c>
      <c r="B15" s="38" t="n">
        <v>4693.73</v>
      </c>
      <c r="C15" s="38" t="n">
        <v>4372.92</v>
      </c>
      <c r="D15" s="38" t="n">
        <v>4036.09</v>
      </c>
      <c r="E15" s="38" t="n">
        <v>3624.26</v>
      </c>
      <c r="F15" s="38" t="n">
        <v>3611.63</v>
      </c>
    </row>
    <row r="16">
      <c r="A16" s="52" t="inlineStr">
        <is>
          <t>Finance Costs</t>
        </is>
      </c>
      <c r="B16" s="38" t="n">
        <v>5256.79</v>
      </c>
      <c r="C16" s="38" t="n">
        <v>4702.44</v>
      </c>
      <c r="D16" s="38" t="n">
        <v>4633.22</v>
      </c>
      <c r="E16" s="38" t="n">
        <v>4371.65</v>
      </c>
      <c r="F16" s="38" t="n">
        <v>3859.02</v>
      </c>
    </row>
    <row r="17">
      <c r="A17" s="52" t="inlineStr">
        <is>
          <t>Depreciation and Amortisation Expense</t>
        </is>
      </c>
      <c r="B17" s="38" t="n">
        <v>4811.09</v>
      </c>
      <c r="C17" s="38" t="n">
        <v>4116.86</v>
      </c>
      <c r="D17" s="38" t="n">
        <v>3786.37</v>
      </c>
      <c r="E17" s="38" t="n">
        <v>3439.2</v>
      </c>
      <c r="F17" s="38" t="n">
        <v>3122.2</v>
      </c>
    </row>
    <row r="18">
      <c r="A18" s="52" t="inlineStr">
        <is>
          <t>Other Expenses</t>
        </is>
      </c>
      <c r="B18" s="38" t="n">
        <v>7449.54</v>
      </c>
      <c r="C18" s="38" t="n">
        <v>6943.02</v>
      </c>
      <c r="D18" s="38" t="n">
        <v>5887.39</v>
      </c>
      <c r="E18" s="38" t="n">
        <v>5775.31</v>
      </c>
      <c r="F18" s="38" t="n">
        <v>4060.42</v>
      </c>
    </row>
    <row r="19">
      <c r="A19" s="18" t="inlineStr">
        <is>
          <t>Total Expenses</t>
        </is>
      </c>
      <c r="B19" s="53">
        <f>B9+B10+B11+B12+B13+B14+B15+B16+B17+B18</f>
        <v/>
      </c>
      <c r="C19" s="53">
        <f>C9+C10+C11+C12+C13+C14+C15+C16+C17+C18</f>
        <v/>
      </c>
      <c r="D19" s="53">
        <f>D9+D10+D11+D12+D13+D14+D15+D16+D17+D18</f>
        <v/>
      </c>
      <c r="E19" s="53">
        <f>E9+E10+E11+E12+E13+E14+E15+E16+E17+E18</f>
        <v/>
      </c>
      <c r="F19" s="53">
        <f>F9+F10+F11+F12+F13+F14+F15+F16+F17+F18</f>
        <v/>
      </c>
    </row>
    <row r="20">
      <c r="A20" s="18" t="inlineStr">
        <is>
          <t>Profit before Regulatory Deferral, Exceptional Items &amp; Assoc./JV share</t>
        </is>
      </c>
      <c r="B20" s="53">
        <f>B7-B19</f>
        <v/>
      </c>
      <c r="C20" s="53">
        <f>C7-C19</f>
        <v/>
      </c>
      <c r="D20" s="53">
        <f>D7-D19</f>
        <v/>
      </c>
      <c r="E20" s="53">
        <f>E7-E19</f>
        <v/>
      </c>
      <c r="F20" s="53">
        <f>F7-F19</f>
        <v/>
      </c>
    </row>
    <row r="21">
      <c r="A21" s="52" t="inlineStr">
        <is>
          <t>Net Movement in Regulatory Deferral Balances (incl. earlier years, net tax)</t>
        </is>
      </c>
      <c r="B21" s="38" t="n">
        <v>1252.04</v>
      </c>
      <c r="C21" s="38" t="n">
        <v>-976.16</v>
      </c>
      <c r="D21" s="38" t="n">
        <v>93.43000000000001</v>
      </c>
      <c r="E21" s="38" t="n">
        <v>924.05</v>
      </c>
      <c r="F21" s="38" t="n">
        <v>-239.47</v>
      </c>
    </row>
    <row r="22">
      <c r="A22" s="18" t="inlineStr">
        <is>
          <t>Profit Before Exceptional Items, Tax &amp; Assoc./JV Share</t>
        </is>
      </c>
      <c r="B22" s="53">
        <f>B20+B21</f>
        <v/>
      </c>
      <c r="C22" s="53">
        <f>C20+C21</f>
        <v/>
      </c>
      <c r="D22" s="53">
        <f>D20+D21</f>
        <v/>
      </c>
      <c r="E22" s="53">
        <f>E20+E21</f>
        <v/>
      </c>
      <c r="F22" s="53">
        <f>F20+F21</f>
        <v/>
      </c>
    </row>
    <row r="23">
      <c r="A23" s="52" t="inlineStr">
        <is>
          <t>Share of Net Profit of Associates and JVs (Equity Method)</t>
        </is>
      </c>
      <c r="B23" s="38" t="n">
        <v>707.87</v>
      </c>
      <c r="C23" s="38" t="n">
        <v>793.33</v>
      </c>
      <c r="D23" s="38" t="n">
        <v>1177.57</v>
      </c>
      <c r="E23" s="38" t="n">
        <v>3199.46</v>
      </c>
      <c r="F23" s="38" t="n">
        <v>1942.83</v>
      </c>
    </row>
    <row r="24">
      <c r="A24" s="18" t="inlineStr">
        <is>
          <t>Profit Before Exceptional Items and Tax</t>
        </is>
      </c>
      <c r="B24" s="53">
        <f>B22+B23</f>
        <v/>
      </c>
      <c r="C24" s="53">
        <f>C22+C23</f>
        <v/>
      </c>
      <c r="D24" s="53">
        <f>D22+D23</f>
        <v/>
      </c>
      <c r="E24" s="53">
        <f>E22+E23</f>
        <v/>
      </c>
      <c r="F24" s="53">
        <f>F22+F23</f>
        <v/>
      </c>
    </row>
    <row r="25">
      <c r="A25" s="52" t="inlineStr">
        <is>
          <t>Exceptional Items (net)</t>
        </is>
      </c>
      <c r="B25" s="38" t="n">
        <v>-94.17</v>
      </c>
      <c r="C25" s="38" t="n">
        <v>-122.05</v>
      </c>
      <c r="D25" s="38" t="n">
        <v>273.36</v>
      </c>
      <c r="E25" s="38" t="n">
        <v>0</v>
      </c>
      <c r="F25" s="38" t="n">
        <v>-150.27</v>
      </c>
    </row>
    <row r="26">
      <c r="A26" s="18" t="inlineStr">
        <is>
          <t>Profit Before Tax</t>
        </is>
      </c>
      <c r="B26" s="53">
        <f>B24+B25</f>
        <v/>
      </c>
      <c r="C26" s="53">
        <f>C24+C25</f>
        <v/>
      </c>
      <c r="D26" s="53">
        <f>D24+D25</f>
        <v/>
      </c>
      <c r="E26" s="53">
        <f>E24+E25</f>
        <v/>
      </c>
      <c r="F26" s="53">
        <f>F24+F25</f>
        <v/>
      </c>
    </row>
    <row r="27">
      <c r="A27" s="52" t="inlineStr">
        <is>
          <t>Total Tax Expense/(Credit)</t>
        </is>
      </c>
      <c r="B27" s="38" t="n">
        <v>1518.43</v>
      </c>
      <c r="C27" s="38" t="n">
        <v>1544.25</v>
      </c>
      <c r="D27" s="38" t="n">
        <v>1451.92</v>
      </c>
      <c r="E27" s="38" t="n">
        <v>1647.33</v>
      </c>
      <c r="F27" s="38" t="n">
        <v>379.56</v>
      </c>
    </row>
    <row r="28">
      <c r="A28" s="18" t="inlineStr">
        <is>
          <t>Profit for the Year (PAT, consolidated)</t>
        </is>
      </c>
      <c r="B28" s="53">
        <f>B26-B27</f>
        <v/>
      </c>
      <c r="C28" s="53">
        <f>C26-C27</f>
        <v/>
      </c>
      <c r="D28" s="53">
        <f>D26-D27</f>
        <v/>
      </c>
      <c r="E28" s="53">
        <f>E26-E27</f>
        <v/>
      </c>
      <c r="F28" s="53">
        <f>F26-F27</f>
        <v/>
      </c>
    </row>
  </sheetData>
  <mergeCells count="2">
    <mergeCell ref="A2:F2"/>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48" t="inlineStr">
        <is>
          <t>Sources: Torrent Power Integrated Annual Reports FY21-22 (AR_20392) through FY25-26 (AR_29704) — 'Consolidated Balance Sheet' as at each year-end. GREEN 'Total' cells are LIVE FORMULAS summing the line items above them.</t>
        </is>
      </c>
    </row>
    <row r="4">
      <c r="A4" s="49" t="inlineStr">
        <is>
          <t>Particulars (₹ crore)</t>
        </is>
      </c>
      <c r="B4" s="50" t="inlineStr">
        <is>
          <t>Mar-2026</t>
        </is>
      </c>
      <c r="C4" s="50" t="inlineStr">
        <is>
          <t>Mar-2025</t>
        </is>
      </c>
      <c r="D4" s="50" t="inlineStr">
        <is>
          <t>Mar-2024</t>
        </is>
      </c>
      <c r="E4" s="50" t="inlineStr">
        <is>
          <t>Mar-2023</t>
        </is>
      </c>
      <c r="F4" s="50" t="inlineStr">
        <is>
          <t>Mar-2022</t>
        </is>
      </c>
      <c r="G4" s="50" t="inlineStr">
        <is>
          <t>Mar-2021</t>
        </is>
      </c>
    </row>
    <row r="5">
      <c r="A5" s="51" t="inlineStr">
        <is>
          <t>Non-current Assets</t>
        </is>
      </c>
      <c r="B5" s="38" t="n"/>
      <c r="C5" s="38" t="n"/>
      <c r="D5" s="38" t="n"/>
      <c r="E5" s="38" t="n"/>
      <c r="F5" s="38" t="n"/>
      <c r="G5" s="38" t="n"/>
    </row>
    <row r="6">
      <c r="A6" s="52" t="inlineStr">
        <is>
          <t>Property, Plant and Equipment</t>
        </is>
      </c>
      <c r="B6" s="38" t="n">
        <v>24200.83</v>
      </c>
      <c r="C6" s="38" t="n">
        <v>23028.29</v>
      </c>
      <c r="D6" s="38" t="n">
        <v>20653.68</v>
      </c>
      <c r="E6" s="38" t="n">
        <v>18115.94</v>
      </c>
      <c r="F6" s="38" t="n">
        <v>16759.39</v>
      </c>
      <c r="G6" s="38" t="n">
        <v>17129.25</v>
      </c>
    </row>
    <row r="7">
      <c r="A7" s="52" t="inlineStr">
        <is>
          <t>Right-of-use Assets</t>
        </is>
      </c>
      <c r="B7" s="38" t="n">
        <v>585.35</v>
      </c>
      <c r="C7" s="38" t="n">
        <v>398.86</v>
      </c>
      <c r="D7" s="38" t="n">
        <v>259.07</v>
      </c>
      <c r="E7" s="38" t="n">
        <v>216.46</v>
      </c>
      <c r="F7" s="38" t="n">
        <v>214.6</v>
      </c>
      <c r="G7" s="38" t="n">
        <v>178.35</v>
      </c>
    </row>
    <row r="8">
      <c r="A8" s="52" t="inlineStr">
        <is>
          <t>Capital Work-in-Progress</t>
        </is>
      </c>
      <c r="B8" s="38" t="n">
        <v>6961.53</v>
      </c>
      <c r="C8" s="38" t="n">
        <v>2249.81</v>
      </c>
      <c r="D8" s="38" t="n">
        <v>2472.36</v>
      </c>
      <c r="E8" s="38" t="n">
        <v>2624.69</v>
      </c>
      <c r="F8" s="38" t="n">
        <v>1297.27</v>
      </c>
      <c r="G8" s="38" t="n">
        <v>837.73</v>
      </c>
    </row>
    <row r="9">
      <c r="A9" s="52" t="inlineStr">
        <is>
          <t>Investment Property</t>
        </is>
      </c>
      <c r="B9" s="38" t="n">
        <v>0.37</v>
      </c>
      <c r="C9" s="38" t="n">
        <v>0.37</v>
      </c>
      <c r="D9" s="38" t="n">
        <v>0</v>
      </c>
      <c r="E9" s="38" t="n">
        <v>9.390000000000001</v>
      </c>
      <c r="F9" s="38" t="n"/>
      <c r="G9" s="38" t="n"/>
    </row>
    <row r="10">
      <c r="A10" s="52" t="inlineStr">
        <is>
          <t>Goodwill</t>
        </is>
      </c>
      <c r="B10" s="38" t="n">
        <v>171.07</v>
      </c>
      <c r="C10" s="38" t="n">
        <v>171.07</v>
      </c>
      <c r="D10" s="38" t="n">
        <v>171.07</v>
      </c>
      <c r="E10" s="38" t="n">
        <v>171.07</v>
      </c>
      <c r="F10" s="38" t="n"/>
      <c r="G10" s="38" t="n"/>
    </row>
    <row r="11">
      <c r="A11" s="52" t="inlineStr">
        <is>
          <t>Other Intangible Assets</t>
        </is>
      </c>
      <c r="B11" s="38" t="n">
        <v>653.66</v>
      </c>
      <c r="C11" s="38" t="n">
        <v>687.46</v>
      </c>
      <c r="D11" s="38" t="n">
        <v>718.46</v>
      </c>
      <c r="E11" s="38" t="n">
        <v>756.33</v>
      </c>
      <c r="F11" s="38" t="n">
        <v>123.29</v>
      </c>
      <c r="G11" s="38" t="n">
        <v>18.44</v>
      </c>
    </row>
    <row r="12">
      <c r="A12" s="52" t="inlineStr">
        <is>
          <t>Intangible Assets Under Development</t>
        </is>
      </c>
      <c r="B12" s="38" t="n">
        <v>3.25</v>
      </c>
      <c r="C12" s="38" t="n"/>
      <c r="D12" s="38" t="n"/>
      <c r="E12" s="38" t="n"/>
      <c r="F12" s="38" t="n"/>
      <c r="G12" s="38" t="n"/>
    </row>
    <row r="13">
      <c r="A13" s="52" t="inlineStr">
        <is>
          <t>Investments (Non-current)</t>
        </is>
      </c>
      <c r="B13" s="38" t="n">
        <v>24.1</v>
      </c>
      <c r="C13" s="38" t="n">
        <v>22.15</v>
      </c>
      <c r="D13" s="38" t="n">
        <v>17.02</v>
      </c>
      <c r="E13" s="38" t="n">
        <v>15.94</v>
      </c>
      <c r="F13" s="38" t="n">
        <v>132.82</v>
      </c>
      <c r="G13" s="38" t="n">
        <v>124.2</v>
      </c>
    </row>
    <row r="14">
      <c r="A14" s="52" t="inlineStr">
        <is>
          <t>Loans (Non-current)</t>
        </is>
      </c>
      <c r="B14" s="38" t="n"/>
      <c r="C14" s="38" t="n"/>
      <c r="D14" s="38" t="n"/>
      <c r="E14" s="38" t="n">
        <v>0</v>
      </c>
      <c r="F14" s="38" t="n">
        <v>121.87</v>
      </c>
      <c r="G14" s="38" t="n">
        <v>155.7</v>
      </c>
    </row>
    <row r="15">
      <c r="A15" s="52" t="inlineStr">
        <is>
          <t>Other Financial Assets (Non-current)</t>
        </is>
      </c>
      <c r="B15" s="38" t="n">
        <v>349.43</v>
      </c>
      <c r="C15" s="38" t="n">
        <v>105.75</v>
      </c>
      <c r="D15" s="38" t="n">
        <v>94.68000000000001</v>
      </c>
      <c r="E15" s="38" t="n">
        <v>135.38</v>
      </c>
      <c r="F15" s="38" t="n">
        <v>101.55</v>
      </c>
      <c r="G15" s="38" t="n">
        <v>75.83</v>
      </c>
    </row>
    <row r="16">
      <c r="A16" s="52" t="inlineStr">
        <is>
          <t>Deferred Tax Assets (Net)</t>
        </is>
      </c>
      <c r="B16" s="38" t="n">
        <v>148.21</v>
      </c>
      <c r="C16" s="38" t="n">
        <v>114.67</v>
      </c>
      <c r="D16" s="38" t="n">
        <v>66.38</v>
      </c>
      <c r="E16" s="38" t="n">
        <v>38.65</v>
      </c>
      <c r="F16" s="38" t="n">
        <v>35.12</v>
      </c>
      <c r="G16" s="38" t="n">
        <v>24.5</v>
      </c>
    </row>
    <row r="17">
      <c r="A17" s="52" t="inlineStr">
        <is>
          <t>Non-current Tax Assets (Net)</t>
        </is>
      </c>
      <c r="B17" s="38" t="n">
        <v>18.85</v>
      </c>
      <c r="C17" s="38" t="n">
        <v>16.27</v>
      </c>
      <c r="D17" s="38" t="n">
        <v>12.64</v>
      </c>
      <c r="E17" s="38" t="n">
        <v>12.5</v>
      </c>
      <c r="F17" s="38" t="n">
        <v>10.56</v>
      </c>
      <c r="G17" s="38" t="n">
        <v>12.83</v>
      </c>
    </row>
    <row r="18">
      <c r="A18" s="52" t="inlineStr">
        <is>
          <t>Other Non-current Assets</t>
        </is>
      </c>
      <c r="B18" s="38" t="n">
        <v>2837.21</v>
      </c>
      <c r="C18" s="38" t="n">
        <v>1158.63</v>
      </c>
      <c r="D18" s="38" t="n">
        <v>420.76</v>
      </c>
      <c r="E18" s="38" t="n">
        <v>361.04</v>
      </c>
      <c r="F18" s="38" t="n">
        <v>1000.47</v>
      </c>
      <c r="G18" s="38" t="n">
        <v>337.48</v>
      </c>
    </row>
    <row r="19">
      <c r="A19" s="18" t="inlineStr">
        <is>
          <t>Total Non-current Assets</t>
        </is>
      </c>
      <c r="B19" s="53">
        <f>B6+B7+B8+B9+B10+B11+B12+B13+B14+B15+B16+B17+B18</f>
        <v/>
      </c>
      <c r="C19" s="53">
        <f>C6+C7+C8+C9+C10+C11+C12+C13+C14+C15+C16+C17+C18</f>
        <v/>
      </c>
      <c r="D19" s="53">
        <f>D6+D7+D8+D9+D10+D11+D12+D13+D14+D15+D16+D17+D18</f>
        <v/>
      </c>
      <c r="E19" s="53">
        <f>E6+E7+E8+E9+E10+E11+E12+E13+E14+E15+E16+E17+E18</f>
        <v/>
      </c>
      <c r="F19" s="53">
        <f>F6+F7+F8+F9+F10+F11+F12+F13+F14+F15+F16+F17+F18</f>
        <v/>
      </c>
      <c r="G19" s="53">
        <f>G6+G7+G8+G9+G10+G11+G12+G13+G14+G15+G16+G17+G18</f>
        <v/>
      </c>
    </row>
    <row r="20">
      <c r="A20" s="51" t="inlineStr">
        <is>
          <t>Current Assets</t>
        </is>
      </c>
      <c r="B20" s="38" t="n"/>
      <c r="C20" s="38" t="n"/>
      <c r="D20" s="38" t="n"/>
      <c r="E20" s="38" t="n"/>
      <c r="F20" s="38" t="n"/>
      <c r="G20" s="38" t="n"/>
    </row>
    <row r="21">
      <c r="A21" s="52" t="inlineStr">
        <is>
          <t>Inventories</t>
        </is>
      </c>
      <c r="B21" s="38" t="n">
        <v>507.18</v>
      </c>
      <c r="C21" s="38" t="n">
        <v>658.02</v>
      </c>
      <c r="D21" s="38" t="n">
        <v>800.45</v>
      </c>
      <c r="E21" s="38" t="n">
        <v>820.28</v>
      </c>
      <c r="F21" s="38" t="n">
        <v>537.5700000000001</v>
      </c>
      <c r="G21" s="38" t="n">
        <v>450.35</v>
      </c>
    </row>
    <row r="22">
      <c r="A22" s="52" t="inlineStr">
        <is>
          <t>Investments (Current)</t>
        </is>
      </c>
      <c r="B22" s="38" t="n">
        <v>1507.19</v>
      </c>
      <c r="C22" s="38" t="n">
        <v>873.03</v>
      </c>
      <c r="D22" s="38" t="n">
        <v>937.37</v>
      </c>
      <c r="E22" s="38" t="n">
        <v>787.75</v>
      </c>
      <c r="F22" s="38" t="n">
        <v>273.7</v>
      </c>
      <c r="G22" s="38" t="n">
        <v>341.58</v>
      </c>
    </row>
    <row r="23">
      <c r="A23" s="52" t="inlineStr">
        <is>
          <t>Trade Receivables</t>
        </is>
      </c>
      <c r="B23" s="38" t="n">
        <v>2329.76</v>
      </c>
      <c r="C23" s="38" t="n">
        <v>2362.25</v>
      </c>
      <c r="D23" s="38" t="n">
        <v>2190.86</v>
      </c>
      <c r="E23" s="38" t="n">
        <v>2246.33</v>
      </c>
      <c r="F23" s="38" t="n">
        <v>1602.7</v>
      </c>
      <c r="G23" s="38" t="n">
        <v>1420.29</v>
      </c>
    </row>
    <row r="24">
      <c r="A24" s="52" t="inlineStr">
        <is>
          <t>Cash and Cash Equivalents</t>
        </is>
      </c>
      <c r="B24" s="38" t="n">
        <v>766.61</v>
      </c>
      <c r="C24" s="38" t="n">
        <v>289.11</v>
      </c>
      <c r="D24" s="38" t="n">
        <v>350.83</v>
      </c>
      <c r="E24" s="38" t="n">
        <v>188.23</v>
      </c>
      <c r="F24" s="38" t="n">
        <v>289.41</v>
      </c>
      <c r="G24" s="38" t="n">
        <v>107.28</v>
      </c>
    </row>
    <row r="25">
      <c r="A25" s="52" t="inlineStr">
        <is>
          <t>Bank Balances other than above</t>
        </is>
      </c>
      <c r="B25" s="38" t="n">
        <v>64.81999999999999</v>
      </c>
      <c r="C25" s="38" t="n">
        <v>90.89</v>
      </c>
      <c r="D25" s="38" t="n">
        <v>67.91</v>
      </c>
      <c r="E25" s="38" t="n">
        <v>155.29</v>
      </c>
      <c r="F25" s="38" t="n">
        <v>62.93</v>
      </c>
      <c r="G25" s="38" t="n">
        <v>95.14</v>
      </c>
    </row>
    <row r="26">
      <c r="A26" s="52" t="inlineStr">
        <is>
          <t>Loans (Current)</t>
        </is>
      </c>
      <c r="B26" s="38" t="n"/>
      <c r="C26" s="38" t="n"/>
      <c r="D26" s="38" t="n"/>
      <c r="E26" s="38" t="n"/>
      <c r="F26" s="38" t="n">
        <v>19.9</v>
      </c>
      <c r="G26" s="38" t="n">
        <v>0</v>
      </c>
    </row>
    <row r="27">
      <c r="A27" s="52" t="inlineStr">
        <is>
          <t>Other Financial Assets (Current)</t>
        </is>
      </c>
      <c r="B27" s="38" t="n">
        <v>3516.62</v>
      </c>
      <c r="C27" s="38" t="n">
        <v>4188.37</v>
      </c>
      <c r="D27" s="38" t="n">
        <v>3989.23</v>
      </c>
      <c r="E27" s="38" t="n">
        <v>3111.4</v>
      </c>
      <c r="F27" s="38" t="n">
        <v>2298.81</v>
      </c>
      <c r="G27" s="38" t="n">
        <v>2153.41</v>
      </c>
    </row>
    <row r="28">
      <c r="A28" s="52" t="inlineStr">
        <is>
          <t>Other Current Assets</t>
        </is>
      </c>
      <c r="B28" s="38" t="n">
        <v>547.24</v>
      </c>
      <c r="C28" s="38" t="n">
        <v>158.38</v>
      </c>
      <c r="D28" s="38" t="n">
        <v>169.71</v>
      </c>
      <c r="E28" s="38" t="n">
        <v>143.51</v>
      </c>
      <c r="F28" s="38" t="n">
        <v>140.74</v>
      </c>
      <c r="G28" s="38" t="n">
        <v>76.36</v>
      </c>
    </row>
    <row r="29">
      <c r="A29" s="18" t="inlineStr">
        <is>
          <t>Total Current Assets</t>
        </is>
      </c>
      <c r="B29" s="53">
        <f>B21+B22+B23+B24+B25+B26+B27+B28</f>
        <v/>
      </c>
      <c r="C29" s="53">
        <f>C21+C22+C23+C24+C25+C26+C27+C28</f>
        <v/>
      </c>
      <c r="D29" s="53">
        <f>D21+D22+D23+D24+D25+D26+D27+D28</f>
        <v/>
      </c>
      <c r="E29" s="53">
        <f>E21+E22+E23+E24+E25+E26+E27+E28</f>
        <v/>
      </c>
      <c r="F29" s="53">
        <f>F21+F22+F23+F24+F25+F26+F27+F28</f>
        <v/>
      </c>
      <c r="G29" s="53">
        <f>G21+G22+G23+G24+G25+G26+G27+G28</f>
        <v/>
      </c>
    </row>
    <row r="30">
      <c r="A30" s="18" t="inlineStr">
        <is>
          <t>TOTAL ASSETS</t>
        </is>
      </c>
      <c r="B30" s="53">
        <f>B19+B29</f>
        <v/>
      </c>
      <c r="C30" s="53">
        <f>C19+C29</f>
        <v/>
      </c>
      <c r="D30" s="53">
        <f>D19+D29</f>
        <v/>
      </c>
      <c r="E30" s="53">
        <f>E19+E29</f>
        <v/>
      </c>
      <c r="F30" s="53">
        <f>F19+F29</f>
        <v/>
      </c>
      <c r="G30" s="53">
        <f>G19+G29</f>
        <v/>
      </c>
    </row>
    <row r="31">
      <c r="A31" s="51" t="inlineStr">
        <is>
          <t>EQUITY &amp; LIABILITIES</t>
        </is>
      </c>
      <c r="B31" s="38" t="n"/>
      <c r="C31" s="38" t="n"/>
      <c r="D31" s="38" t="n"/>
      <c r="E31" s="38" t="n"/>
      <c r="F31" s="38" t="n"/>
      <c r="G31" s="38" t="n"/>
    </row>
    <row r="32">
      <c r="A32" s="52" t="inlineStr">
        <is>
          <t>Equity Share Capital</t>
        </is>
      </c>
      <c r="B32" s="38" t="n">
        <v>503.9</v>
      </c>
      <c r="C32" s="38" t="n">
        <v>503.9</v>
      </c>
      <c r="D32" s="38" t="n">
        <v>480.62</v>
      </c>
      <c r="E32" s="38" t="n">
        <v>480.62</v>
      </c>
      <c r="F32" s="38" t="n">
        <v>480.62</v>
      </c>
      <c r="G32" s="38" t="n">
        <v>480.62</v>
      </c>
    </row>
    <row r="33">
      <c r="A33" s="52" t="inlineStr">
        <is>
          <t>Other Equity</t>
        </is>
      </c>
      <c r="B33" s="38" t="n">
        <v>18571.43</v>
      </c>
      <c r="C33" s="38" t="n">
        <v>17111.41</v>
      </c>
      <c r="D33" s="38" t="n">
        <v>11581.09</v>
      </c>
      <c r="E33" s="38" t="n">
        <v>10529.38</v>
      </c>
      <c r="F33" s="38" t="n">
        <v>9462.559999999999</v>
      </c>
      <c r="G33" s="38" t="n">
        <v>9703.620000000001</v>
      </c>
    </row>
    <row r="34">
      <c r="A34" s="18" t="inlineStr">
        <is>
          <t>Net Worth (Attributable to Owners)</t>
        </is>
      </c>
      <c r="B34" s="53">
        <f>B32+B33</f>
        <v/>
      </c>
      <c r="C34" s="53">
        <f>C32+C33</f>
        <v/>
      </c>
      <c r="D34" s="53">
        <f>D32+D33</f>
        <v/>
      </c>
      <c r="E34" s="53">
        <f>E32+E33</f>
        <v/>
      </c>
      <c r="F34" s="53">
        <f>F32+F33</f>
        <v/>
      </c>
      <c r="G34" s="53">
        <f>G32+G33</f>
        <v/>
      </c>
    </row>
    <row r="35">
      <c r="A35" s="52" t="inlineStr">
        <is>
          <t>Non-Controlling Interests</t>
        </is>
      </c>
      <c r="B35" s="38" t="n">
        <v>633.42</v>
      </c>
      <c r="C35" s="38" t="n">
        <v>600.47</v>
      </c>
      <c r="D35" s="38" t="n">
        <v>535.79</v>
      </c>
      <c r="E35" s="38" t="n">
        <v>476.65</v>
      </c>
      <c r="F35" s="38" t="n">
        <v>35.93</v>
      </c>
      <c r="G35" s="38" t="n">
        <v>36.36</v>
      </c>
    </row>
    <row r="36">
      <c r="A36" s="18" t="inlineStr">
        <is>
          <t>Total Equity</t>
        </is>
      </c>
      <c r="B36" s="53">
        <f>B34+B35</f>
        <v/>
      </c>
      <c r="C36" s="53">
        <f>C34+C35</f>
        <v/>
      </c>
      <c r="D36" s="53">
        <f>D34+D35</f>
        <v/>
      </c>
      <c r="E36" s="53">
        <f>E34+E35</f>
        <v/>
      </c>
      <c r="F36" s="53">
        <f>F34+F35</f>
        <v/>
      </c>
      <c r="G36" s="53">
        <f>G34+G35</f>
        <v/>
      </c>
    </row>
    <row r="37">
      <c r="A37" s="51" t="inlineStr">
        <is>
          <t>Non-current Liabilities</t>
        </is>
      </c>
      <c r="B37" s="38" t="n"/>
      <c r="C37" s="38" t="n"/>
      <c r="D37" s="38" t="n"/>
      <c r="E37" s="38" t="n"/>
      <c r="F37" s="38" t="n"/>
      <c r="G37" s="38" t="n"/>
    </row>
    <row r="38">
      <c r="A38" s="52" t="inlineStr">
        <is>
          <t>Borrowings (Non-current)</t>
        </is>
      </c>
      <c r="B38" s="38" t="n">
        <v>11871.42</v>
      </c>
      <c r="C38" s="38" t="n">
        <v>7310.21</v>
      </c>
      <c r="D38" s="38" t="n">
        <v>9916.4</v>
      </c>
      <c r="E38" s="38" t="n">
        <v>8902.32</v>
      </c>
      <c r="F38" s="38" t="n">
        <v>7099.15</v>
      </c>
      <c r="G38" s="38" t="n">
        <v>6672.18</v>
      </c>
    </row>
    <row r="39">
      <c r="A39" s="52" t="inlineStr">
        <is>
          <t>Lease Liabilities (Non-current)</t>
        </is>
      </c>
      <c r="B39" s="38" t="n">
        <v>219.83</v>
      </c>
      <c r="C39" s="38" t="n">
        <v>92.78</v>
      </c>
      <c r="D39" s="38" t="n">
        <v>39.5</v>
      </c>
      <c r="E39" s="38" t="n">
        <v>39.32</v>
      </c>
      <c r="F39" s="38" t="n">
        <v>39.1</v>
      </c>
      <c r="G39" s="38" t="n">
        <v>30.96</v>
      </c>
    </row>
    <row r="40">
      <c r="A40" s="52" t="inlineStr">
        <is>
          <t>Trade Payables (Non-current)</t>
        </is>
      </c>
      <c r="B40" s="38" t="n">
        <v>324.05</v>
      </c>
      <c r="C40" s="38" t="n">
        <v>380.88</v>
      </c>
      <c r="D40" s="38" t="n">
        <v>345.71</v>
      </c>
      <c r="E40" s="38" t="n">
        <v>210.61</v>
      </c>
      <c r="F40" s="38" t="n">
        <v>150.46</v>
      </c>
      <c r="G40" s="38" t="n">
        <v>116.11</v>
      </c>
    </row>
    <row r="41">
      <c r="A41" s="52" t="inlineStr">
        <is>
          <t>Other Financial Liabilities (Non-current)</t>
        </is>
      </c>
      <c r="B41" s="38" t="n">
        <v>38.14</v>
      </c>
      <c r="C41" s="38" t="n">
        <v>8.43</v>
      </c>
      <c r="D41" s="38" t="n">
        <v>0.95</v>
      </c>
      <c r="E41" s="38" t="n">
        <v>0</v>
      </c>
      <c r="F41" s="38" t="n">
        <v>0.33</v>
      </c>
      <c r="G41" s="38" t="n">
        <v>1.17</v>
      </c>
    </row>
    <row r="42">
      <c r="A42" s="52" t="inlineStr">
        <is>
          <t>Deferred Tax Liabilities (Net)</t>
        </is>
      </c>
      <c r="B42" s="38" t="n">
        <v>1628.57</v>
      </c>
      <c r="C42" s="38" t="n">
        <v>1352.21</v>
      </c>
      <c r="D42" s="38" t="n">
        <v>1233.65</v>
      </c>
      <c r="E42" s="38" t="n">
        <v>968.79</v>
      </c>
      <c r="F42" s="38" t="n">
        <v>345.21</v>
      </c>
      <c r="G42" s="38" t="n">
        <v>527.51</v>
      </c>
    </row>
    <row r="43">
      <c r="A43" s="52" t="inlineStr">
        <is>
          <t>Other Non-current Liabilities</t>
        </is>
      </c>
      <c r="B43" s="38" t="n">
        <v>1689.43</v>
      </c>
      <c r="C43" s="38" t="n">
        <v>1623.6</v>
      </c>
      <c r="D43" s="38" t="n">
        <v>1445.68</v>
      </c>
      <c r="E43" s="38" t="n">
        <v>1372.46</v>
      </c>
      <c r="F43" s="38" t="n">
        <v>1261.67</v>
      </c>
      <c r="G43" s="38" t="n">
        <v>1160.34</v>
      </c>
    </row>
    <row r="44">
      <c r="A44" s="18" t="inlineStr">
        <is>
          <t>Total Non-current Liabilities</t>
        </is>
      </c>
      <c r="B44" s="53">
        <f>B38+B39+B40+B41+B42+B43</f>
        <v/>
      </c>
      <c r="C44" s="53">
        <f>C38+C39+C40+C41+C42+C43</f>
        <v/>
      </c>
      <c r="D44" s="53">
        <f>D38+D39+D40+D41+D42+D43</f>
        <v/>
      </c>
      <c r="E44" s="53">
        <f>E38+E39+E40+E41+E42+E43</f>
        <v/>
      </c>
      <c r="F44" s="53">
        <f>F38+F39+F40+F41+F42+F43</f>
        <v/>
      </c>
      <c r="G44" s="53">
        <f>G38+G39+G40+G41+G42+G43</f>
        <v/>
      </c>
    </row>
    <row r="45">
      <c r="A45" s="51" t="inlineStr">
        <is>
          <t>Current Liabilities</t>
        </is>
      </c>
      <c r="B45" s="38" t="n"/>
      <c r="C45" s="38" t="n"/>
      <c r="D45" s="38" t="n"/>
      <c r="E45" s="38" t="n"/>
      <c r="F45" s="38" t="n"/>
      <c r="G45" s="38" t="n"/>
    </row>
    <row r="46">
      <c r="A46" s="52" t="inlineStr">
        <is>
          <t>Borrowings (Current)</t>
        </is>
      </c>
      <c r="B46" s="38" t="n">
        <v>1861.51</v>
      </c>
      <c r="C46" s="38" t="n">
        <v>1426.47</v>
      </c>
      <c r="D46" s="38" t="n">
        <v>1668.63</v>
      </c>
      <c r="E46" s="38" t="n">
        <v>1593.75</v>
      </c>
      <c r="F46" s="38" t="n">
        <v>1999.27</v>
      </c>
      <c r="G46" s="38" t="n">
        <v>1108.37</v>
      </c>
    </row>
    <row r="47">
      <c r="A47" s="52" t="inlineStr">
        <is>
          <t>Lease Liabilities (Current)</t>
        </is>
      </c>
      <c r="B47" s="38" t="n">
        <v>17.8</v>
      </c>
      <c r="C47" s="38" t="n">
        <v>10.28</v>
      </c>
      <c r="D47" s="38" t="n">
        <v>7.27</v>
      </c>
      <c r="E47" s="38" t="n">
        <v>6.02</v>
      </c>
      <c r="F47" s="38" t="n">
        <v>5.11</v>
      </c>
      <c r="G47" s="38" t="n">
        <v>5.05</v>
      </c>
    </row>
    <row r="48">
      <c r="A48" s="52" t="inlineStr">
        <is>
          <t>Trade Payables (Current)</t>
        </is>
      </c>
      <c r="B48" s="38" t="n">
        <v>1879.23</v>
      </c>
      <c r="C48" s="38" t="n">
        <v>1824.13</v>
      </c>
      <c r="D48" s="38" t="n">
        <v>1811.92</v>
      </c>
      <c r="E48" s="38" t="n">
        <v>1522.67</v>
      </c>
      <c r="F48" s="38" t="n">
        <v>1111.13</v>
      </c>
      <c r="G48" s="38" t="n">
        <v>974.79</v>
      </c>
    </row>
    <row r="49">
      <c r="A49" s="52" t="inlineStr">
        <is>
          <t>Other Financial Liabilities (Current)</t>
        </is>
      </c>
      <c r="B49" s="38" t="n">
        <v>4771.06</v>
      </c>
      <c r="C49" s="38" t="n">
        <v>3409.61</v>
      </c>
      <c r="D49" s="38" t="n">
        <v>3264.67</v>
      </c>
      <c r="E49" s="38" t="n">
        <v>2687.72</v>
      </c>
      <c r="F49" s="38" t="n">
        <v>2021.51</v>
      </c>
      <c r="G49" s="38" t="n">
        <v>1799.77</v>
      </c>
    </row>
    <row r="50">
      <c r="A50" s="52" t="inlineStr">
        <is>
          <t>Other Current Liabilities</t>
        </is>
      </c>
      <c r="B50" s="38" t="n">
        <v>921.02</v>
      </c>
      <c r="C50" s="38" t="n">
        <v>689.74</v>
      </c>
      <c r="D50" s="38" t="n">
        <v>735.0599999999999</v>
      </c>
      <c r="E50" s="38" t="n">
        <v>677.24</v>
      </c>
      <c r="F50" s="38" t="n">
        <v>613.5599999999999</v>
      </c>
      <c r="G50" s="38" t="n">
        <v>542.02</v>
      </c>
    </row>
    <row r="51">
      <c r="A51" s="52" t="inlineStr">
        <is>
          <t>Provisions (Current)</t>
        </is>
      </c>
      <c r="B51" s="38" t="n">
        <v>226.37</v>
      </c>
      <c r="C51" s="38" t="n">
        <v>198.17</v>
      </c>
      <c r="D51" s="38" t="n">
        <v>201.74</v>
      </c>
      <c r="E51" s="38" t="n">
        <v>264.06</v>
      </c>
      <c r="F51" s="38" t="n">
        <v>274.55</v>
      </c>
      <c r="G51" s="38" t="n">
        <v>335.3</v>
      </c>
    </row>
    <row r="52">
      <c r="A52" s="52" t="inlineStr">
        <is>
          <t>Current Tax Liabilities (Net)</t>
        </is>
      </c>
      <c r="B52" s="38" t="n">
        <v>36.1</v>
      </c>
      <c r="C52" s="38" t="n">
        <v>31.09</v>
      </c>
      <c r="D52" s="38" t="n">
        <v>123.8</v>
      </c>
      <c r="E52" s="38" t="n">
        <v>178.57</v>
      </c>
      <c r="F52" s="38" t="n">
        <v>122.54</v>
      </c>
      <c r="G52" s="38" t="n">
        <v>44.55</v>
      </c>
    </row>
    <row r="53">
      <c r="A53" s="18" t="inlineStr">
        <is>
          <t>Total Current Liabilities</t>
        </is>
      </c>
      <c r="B53" s="53">
        <f>B46+B47+B48+B49+B50+B51+B52</f>
        <v/>
      </c>
      <c r="C53" s="53">
        <f>C46+C47+C48+C49+C50+C51+C52</f>
        <v/>
      </c>
      <c r="D53" s="53">
        <f>D46+D47+D48+D49+D50+D51+D52</f>
        <v/>
      </c>
      <c r="E53" s="53">
        <f>E46+E47+E48+E49+E50+E51+E52</f>
        <v/>
      </c>
      <c r="F53" s="53">
        <f>F46+F47+F48+F49+F50+F51+F52</f>
        <v/>
      </c>
      <c r="G53" s="53">
        <f>G46+G47+G48+G49+G50+G51+G52</f>
        <v/>
      </c>
    </row>
    <row r="54">
      <c r="A54" s="18" t="inlineStr">
        <is>
          <t>TOTAL EQUITY AND LIABILITIES</t>
        </is>
      </c>
      <c r="B54" s="53">
        <f>B36+B44+B53</f>
        <v/>
      </c>
      <c r="C54" s="53">
        <f>C36+C44+C53</f>
        <v/>
      </c>
      <c r="D54" s="53">
        <f>D36+D44+D53</f>
        <v/>
      </c>
      <c r="E54" s="53">
        <f>E36+E44+E53</f>
        <v/>
      </c>
      <c r="F54" s="53">
        <f>F36+F44+F53</f>
        <v/>
      </c>
      <c r="G54" s="53">
        <f>G36+G44+G53</f>
        <v/>
      </c>
    </row>
  </sheetData>
  <mergeCells count="2">
    <mergeCell ref="A2:G2"/>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48"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49" t="inlineStr">
        <is>
          <t>Particulars (₹ crore)</t>
        </is>
      </c>
      <c r="B4" s="50" t="inlineStr">
        <is>
          <t>FY 2025-26</t>
        </is>
      </c>
      <c r="C4" s="50" t="inlineStr">
        <is>
          <t>FY 2024-25</t>
        </is>
      </c>
      <c r="D4" s="50" t="inlineStr">
        <is>
          <t>FY 2023-24</t>
        </is>
      </c>
      <c r="E4" s="50" t="inlineStr">
        <is>
          <t>FY 2022-23</t>
        </is>
      </c>
      <c r="F4" s="50" t="inlineStr">
        <is>
          <t>FY 2021-22</t>
        </is>
      </c>
      <c r="G4" s="50" t="inlineStr">
        <is>
          <t>FY 2020-21</t>
        </is>
      </c>
    </row>
    <row r="5">
      <c r="A5" s="52" t="inlineStr">
        <is>
          <t>Revenue from Operations</t>
        </is>
      </c>
      <c r="B5" s="38" t="n">
        <v>28966.31</v>
      </c>
      <c r="C5" s="38" t="n">
        <v>29165.26</v>
      </c>
      <c r="D5" s="38" t="n">
        <v>27183.21</v>
      </c>
      <c r="E5" s="38" t="n">
        <v>25694.12</v>
      </c>
      <c r="F5" s="38" t="n">
        <v>14257.61</v>
      </c>
      <c r="G5" s="38" t="n">
        <v>12172.66</v>
      </c>
    </row>
    <row r="6">
      <c r="A6" s="52" t="inlineStr">
        <is>
          <t>Other Income</t>
        </is>
      </c>
      <c r="B6" s="38" t="n">
        <v>322.61</v>
      </c>
      <c r="C6" s="38" t="n">
        <v>487.21</v>
      </c>
      <c r="D6" s="38" t="n">
        <v>344.32</v>
      </c>
      <c r="E6" s="38" t="n">
        <v>381.85</v>
      </c>
      <c r="F6" s="38" t="n">
        <v>235.04</v>
      </c>
      <c r="G6" s="38" t="n">
        <v>141.81</v>
      </c>
    </row>
    <row r="7">
      <c r="A7" s="18" t="inlineStr">
        <is>
          <t>Total Income</t>
        </is>
      </c>
      <c r="B7" s="53">
        <f>B5+B6</f>
        <v/>
      </c>
      <c r="C7" s="53">
        <f>C5+C6</f>
        <v/>
      </c>
      <c r="D7" s="53">
        <f>D5+D6</f>
        <v/>
      </c>
      <c r="E7" s="53">
        <f>E5+E6</f>
        <v/>
      </c>
      <c r="F7" s="53">
        <f>F5+F6</f>
        <v/>
      </c>
      <c r="G7" s="53">
        <f>G5+G6</f>
        <v/>
      </c>
    </row>
    <row r="8">
      <c r="A8" s="51" t="inlineStr">
        <is>
          <t>Expenses</t>
        </is>
      </c>
      <c r="B8" s="38" t="n"/>
      <c r="C8" s="38" t="n"/>
      <c r="D8" s="38" t="n"/>
      <c r="E8" s="38" t="n"/>
      <c r="F8" s="38" t="n"/>
      <c r="G8" s="38" t="n"/>
    </row>
    <row r="9">
      <c r="A9" s="52" t="inlineStr">
        <is>
          <t>Electrical Energy Purchased</t>
        </is>
      </c>
      <c r="B9" s="38" t="n">
        <v>15053.7</v>
      </c>
      <c r="C9" s="38" t="n">
        <v>15289.81</v>
      </c>
      <c r="D9" s="38" t="n">
        <v>13743.27</v>
      </c>
      <c r="E9" s="38" t="n">
        <v>14440.53</v>
      </c>
      <c r="F9" s="38" t="n">
        <v>5116.39</v>
      </c>
      <c r="G9" s="38" t="n">
        <v>3358.36</v>
      </c>
    </row>
    <row r="10">
      <c r="A10" s="52" t="inlineStr">
        <is>
          <t>Fuel Cost</t>
        </is>
      </c>
      <c r="B10" s="38" t="n">
        <v>3944.21</v>
      </c>
      <c r="C10" s="38" t="n">
        <v>4877.69</v>
      </c>
      <c r="D10" s="38" t="n">
        <v>5647.95</v>
      </c>
      <c r="E10" s="38" t="n">
        <v>2508.23</v>
      </c>
      <c r="F10" s="38" t="n">
        <v>3403.4</v>
      </c>
      <c r="G10" s="38" t="n">
        <v>3610.55</v>
      </c>
    </row>
    <row r="11">
      <c r="A11" s="52" t="inlineStr">
        <is>
          <t>Cost of Materials Consumed</t>
        </is>
      </c>
      <c r="B11" s="38" t="n"/>
      <c r="C11" s="38" t="n">
        <v>213.46</v>
      </c>
      <c r="D11" s="38" t="n">
        <v>406.5</v>
      </c>
      <c r="E11" s="38" t="n">
        <v>334.81</v>
      </c>
      <c r="F11" s="38" t="n">
        <v>262.64</v>
      </c>
      <c r="G11" s="38" t="n">
        <v>104.21</v>
      </c>
    </row>
    <row r="12">
      <c r="A12" s="52" t="inlineStr">
        <is>
          <t>Purchase of Stock-in-Trade</t>
        </is>
      </c>
      <c r="B12" s="38" t="n">
        <v>1593.67</v>
      </c>
      <c r="C12" s="38" t="n">
        <v>1103.91</v>
      </c>
      <c r="D12" s="38" t="n">
        <v>690.53</v>
      </c>
      <c r="E12" s="38" t="n">
        <v>1879.26</v>
      </c>
      <c r="F12" s="38" t="n">
        <v>305.99</v>
      </c>
      <c r="G12" s="38" t="n">
        <v>48.24</v>
      </c>
    </row>
    <row r="13">
      <c r="A13" s="52" t="inlineStr">
        <is>
          <t>Changes in Inventories of Finished Goods and WIP</t>
        </is>
      </c>
      <c r="B13" s="38" t="n">
        <v>0</v>
      </c>
      <c r="C13" s="38" t="n">
        <v>0.11</v>
      </c>
      <c r="D13" s="38" t="n">
        <v>20.45</v>
      </c>
      <c r="E13" s="38" t="n">
        <v>-29.19</v>
      </c>
      <c r="F13" s="38" t="n">
        <v>-11.11</v>
      </c>
      <c r="G13" s="38" t="n">
        <v>8.859999999999999</v>
      </c>
    </row>
    <row r="14">
      <c r="A14" s="52" t="inlineStr">
        <is>
          <t>Employee Benefits Expense</t>
        </is>
      </c>
      <c r="B14" s="38" t="n">
        <v>705.8</v>
      </c>
      <c r="C14" s="38" t="n">
        <v>689.96</v>
      </c>
      <c r="D14" s="38" t="n">
        <v>611.1900000000001</v>
      </c>
      <c r="E14" s="38" t="n">
        <v>578.25</v>
      </c>
      <c r="F14" s="38" t="n">
        <v>533.54</v>
      </c>
      <c r="G14" s="38" t="n">
        <v>538.9400000000001</v>
      </c>
    </row>
    <row r="15">
      <c r="A15" s="52" t="inlineStr">
        <is>
          <t>Finance Costs</t>
        </is>
      </c>
      <c r="B15" s="38" t="n">
        <v>934.47</v>
      </c>
      <c r="C15" s="38" t="n">
        <v>1044.87</v>
      </c>
      <c r="D15" s="38" t="n">
        <v>943.4</v>
      </c>
      <c r="E15" s="38" t="n">
        <v>818.2</v>
      </c>
      <c r="F15" s="38" t="n">
        <v>628.21</v>
      </c>
      <c r="G15" s="38" t="n">
        <v>775.73</v>
      </c>
    </row>
    <row r="16">
      <c r="A16" s="52" t="inlineStr">
        <is>
          <t>Depreciation &amp; Amortisation</t>
        </is>
      </c>
      <c r="B16" s="38" t="n">
        <v>1612.75</v>
      </c>
      <c r="C16" s="38" t="n">
        <v>1497.12</v>
      </c>
      <c r="D16" s="38" t="n">
        <v>1377.5</v>
      </c>
      <c r="E16" s="38" t="n">
        <v>1280.96</v>
      </c>
      <c r="F16" s="38" t="n">
        <v>1333.86</v>
      </c>
      <c r="G16" s="38" t="n">
        <v>1279.55</v>
      </c>
    </row>
    <row r="17">
      <c r="A17" s="52" t="inlineStr">
        <is>
          <t>Other Expenses</t>
        </is>
      </c>
      <c r="B17" s="38" t="n">
        <v>2127.55</v>
      </c>
      <c r="C17" s="38" t="n">
        <v>1682.96</v>
      </c>
      <c r="D17" s="38" t="n">
        <v>1504.14</v>
      </c>
      <c r="E17" s="38" t="n">
        <v>1223.56</v>
      </c>
      <c r="F17" s="38" t="n">
        <v>1055.76</v>
      </c>
      <c r="G17" s="38" t="n">
        <v>1038.26</v>
      </c>
    </row>
    <row r="18">
      <c r="A18" s="18" t="inlineStr">
        <is>
          <t>Total Expenses</t>
        </is>
      </c>
      <c r="B18" s="53">
        <f>B9+B10+B11+B12+B13+B14+B15+B16+B17</f>
        <v/>
      </c>
      <c r="C18" s="53">
        <f>C9+C10+C11+C12+C13+C14+C15+C16+C17</f>
        <v/>
      </c>
      <c r="D18" s="53">
        <f>D9+D10+D11+D12+D13+D14+D15+D16+D17</f>
        <v/>
      </c>
      <c r="E18" s="53">
        <f>E9+E10+E11+E12+E13+E14+E15+E16+E17</f>
        <v/>
      </c>
      <c r="F18" s="53">
        <f>F9+F10+F11+F12+F13+F14+F15+F16+F17</f>
        <v/>
      </c>
      <c r="G18" s="53">
        <f>G9+G10+G11+G12+G13+G14+G15+G16+G17</f>
        <v/>
      </c>
    </row>
    <row r="19">
      <c r="A19" s="18" t="inlineStr">
        <is>
          <t>Profit Before Exceptional Items and Tax</t>
        </is>
      </c>
      <c r="B19" s="53">
        <f>B7-B18</f>
        <v/>
      </c>
      <c r="C19" s="53">
        <f>C7-C18</f>
        <v/>
      </c>
      <c r="D19" s="53">
        <f>D7-D18</f>
        <v/>
      </c>
      <c r="E19" s="53">
        <f>E7-E18</f>
        <v/>
      </c>
      <c r="F19" s="53">
        <f>F7-F18</f>
        <v/>
      </c>
      <c r="G19" s="53">
        <f>G7-G18</f>
        <v/>
      </c>
    </row>
    <row r="20">
      <c r="A20" s="52" t="inlineStr">
        <is>
          <t>Exceptional Items (DGEN plant impairment, FY22 only)</t>
        </is>
      </c>
      <c r="B20" s="38" t="n">
        <v>0</v>
      </c>
      <c r="C20" s="38" t="n">
        <v>0</v>
      </c>
      <c r="D20" s="38" t="n">
        <v>0</v>
      </c>
      <c r="E20" s="38" t="n">
        <v>0</v>
      </c>
      <c r="F20" s="38" t="n">
        <v>1300</v>
      </c>
      <c r="G20" s="38" t="n">
        <v>0</v>
      </c>
    </row>
    <row r="21">
      <c r="A21" s="18" t="inlineStr">
        <is>
          <t>Profit Before Tax</t>
        </is>
      </c>
      <c r="B21" s="53">
        <f>B19-B20</f>
        <v/>
      </c>
      <c r="C21" s="53">
        <f>C19-C20</f>
        <v/>
      </c>
      <c r="D21" s="53">
        <f>D19-D20</f>
        <v/>
      </c>
      <c r="E21" s="53">
        <f>E19-E20</f>
        <v/>
      </c>
      <c r="F21" s="53">
        <f>F19-F20</f>
        <v/>
      </c>
      <c r="G21" s="53">
        <f>G19-G20</f>
        <v/>
      </c>
    </row>
    <row r="22">
      <c r="A22" s="52" t="inlineStr">
        <is>
          <t>Current Tax</t>
        </is>
      </c>
      <c r="B22" s="38" t="n">
        <v>728.15</v>
      </c>
      <c r="C22" s="38" t="n">
        <v>600.47</v>
      </c>
      <c r="D22" s="38" t="n">
        <v>445.07</v>
      </c>
      <c r="E22" s="38" t="n">
        <v>672.8200000000001</v>
      </c>
      <c r="F22" s="38" t="n">
        <v>372.48</v>
      </c>
      <c r="G22" s="38" t="n">
        <v>287.85</v>
      </c>
    </row>
    <row r="23">
      <c r="A23" s="52" t="inlineStr">
        <is>
          <t>Deferred Tax</t>
        </is>
      </c>
      <c r="B23" s="38" t="n">
        <v>119.26</v>
      </c>
      <c r="C23" s="38" t="n">
        <v>-406.5</v>
      </c>
      <c r="D23" s="38" t="n">
        <v>241.53</v>
      </c>
      <c r="E23" s="38" t="n">
        <v>203.87</v>
      </c>
      <c r="F23" s="38" t="n">
        <v>-267.21</v>
      </c>
      <c r="G23" s="38" t="n">
        <v>-31.95</v>
      </c>
    </row>
    <row r="24">
      <c r="A24" s="18" t="inlineStr">
        <is>
          <t>Total Tax Expense</t>
        </is>
      </c>
      <c r="B24" s="53">
        <f>B22+B23</f>
        <v/>
      </c>
      <c r="C24" s="53">
        <f>C22+C23</f>
        <v/>
      </c>
      <c r="D24" s="53">
        <f>D22+D23</f>
        <v/>
      </c>
      <c r="E24" s="53">
        <f>E22+E23</f>
        <v/>
      </c>
      <c r="F24" s="53">
        <f>F22+F23</f>
        <v/>
      </c>
      <c r="G24" s="53">
        <f>G22+G23</f>
        <v/>
      </c>
    </row>
    <row r="25">
      <c r="A25" s="18" t="inlineStr">
        <is>
          <t>Profit for the Year (PAT, consolidated)</t>
        </is>
      </c>
      <c r="B25" s="53">
        <f>B21-B24</f>
        <v/>
      </c>
      <c r="C25" s="53">
        <f>C21-C24</f>
        <v/>
      </c>
      <c r="D25" s="53">
        <f>D21-D24</f>
        <v/>
      </c>
      <c r="E25" s="53">
        <f>E21-E24</f>
        <v/>
      </c>
      <c r="F25" s="53">
        <f>F21-F24</f>
        <v/>
      </c>
      <c r="G25" s="53">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2026-07-18T07:54:10Z</dcterms:created>
  <dcterms:modified xsi:type="dcterms:W3CDTF">2026-07-18T07:54:38Z</dcterms:modified>
</cp:coreProperties>
</file>